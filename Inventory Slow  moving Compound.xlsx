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9.xml" ContentType="application/vnd.openxmlformats-officedocument.spreadsheetml.pivotTab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Digitalisasi Compound Slow Moving\"/>
    </mc:Choice>
  </mc:AlternateContent>
  <xr:revisionPtr revIDLastSave="0" documentId="8_{B3F54CA7-0ABB-42B2-8C9F-21CF15F9ED02}" xr6:coauthVersionLast="47" xr6:coauthVersionMax="47" xr10:uidLastSave="{00000000-0000-0000-0000-000000000000}"/>
  <bookViews>
    <workbookView xWindow="-110" yWindow="-110" windowWidth="19420" windowHeight="10300" tabRatio="747" activeTab="2" xr2:uid="{98122208-837E-4AB9-9BBC-803E92C2B3FB}"/>
  </bookViews>
  <sheets>
    <sheet name="Inventory" sheetId="6" r:id="rId1"/>
    <sheet name="New Creation" sheetId="19" r:id="rId2"/>
    <sheet name="Summary SM Plan" sheetId="1" r:id="rId3"/>
    <sheet name="Summary SM Actual" sheetId="4" r:id="rId4"/>
    <sheet name="Cleaner Scrap" sheetId="5" r:id="rId5"/>
    <sheet name="Sheet2" sheetId="8" r:id="rId6"/>
    <sheet name="Sheet1" sheetId="7" r:id="rId7"/>
    <sheet name="NEW" sheetId="9" r:id="rId8"/>
    <sheet name="Pivot New Local" sheetId="11" r:id="rId9"/>
    <sheet name="Summary SM Actual (2)" sheetId="12" r:id="rId10"/>
    <sheet name="Pivot File Mixing" sheetId="14" r:id="rId11"/>
    <sheet name="Flow Diagram SM" sheetId="18" r:id="rId12"/>
    <sheet name="Sheet5" sheetId="28" r:id="rId13"/>
    <sheet name="Disposisi" sheetId="22" r:id="rId14"/>
    <sheet name="Data PC Slow Moving" sheetId="23" r:id="rId15"/>
    <sheet name="Newcreation" sheetId="20" r:id="rId16"/>
    <sheet name="Pivot New-creation" sheetId="21" r:id="rId17"/>
    <sheet name="Dispo tracking" sheetId="24" r:id="rId18"/>
    <sheet name="Pareto" sheetId="26" r:id="rId19"/>
  </sheets>
  <definedNames>
    <definedName name="_xlnm._FilterDatabase" localSheetId="17" hidden="1">'Dispo tracking'!$A$2:$AL$34</definedName>
    <definedName name="_xlnm._FilterDatabase" localSheetId="13" hidden="1">Disposisi!$B$2:$K$164</definedName>
    <definedName name="_xlnm._FilterDatabase" localSheetId="0" hidden="1">Inventory!$A$1:$H$201</definedName>
    <definedName name="_xlnm._FilterDatabase" localSheetId="7" hidden="1">NEW!$A$1:$Q$215</definedName>
    <definedName name="_xlnm._FilterDatabase" localSheetId="15" hidden="1">Newcreation!$A$1:$K$121</definedName>
    <definedName name="_xlnm.Print_Area" localSheetId="13">Disposisi!$A$1:$K$166</definedName>
    <definedName name="_xlnm.Print_Area" localSheetId="0">Inventory!$A$1:$H$201</definedName>
    <definedName name="_xlnm.Print_Area" localSheetId="7">NEW!$A$1:$Q$220</definedName>
  </definedNames>
  <calcPr calcId="191028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51" i="24" l="1"/>
  <c r="CJ51" i="24"/>
  <c r="CL50" i="24"/>
  <c r="CJ50" i="24"/>
  <c r="CL49" i="24"/>
  <c r="CN49" i="24" s="1"/>
  <c r="CM48" i="24"/>
  <c r="CL48" i="24"/>
  <c r="CJ48" i="24"/>
  <c r="CN48" i="24" s="1"/>
  <c r="CL47" i="24"/>
  <c r="CN47" i="24" s="1"/>
  <c r="CL46" i="24"/>
  <c r="CJ46" i="24"/>
  <c r="CN46" i="24" s="1"/>
  <c r="CK45" i="24"/>
  <c r="CN45" i="24" s="1"/>
  <c r="CJ44" i="24"/>
  <c r="CN44" i="24" s="1"/>
  <c r="CK43" i="24"/>
  <c r="CN43" i="24" s="1"/>
  <c r="CL42" i="24"/>
  <c r="CJ42" i="24"/>
  <c r="CM41" i="24"/>
  <c r="CM52" i="24" s="1"/>
  <c r="CL41" i="24"/>
  <c r="CK41" i="24"/>
  <c r="CJ41" i="24"/>
  <c r="CL40" i="24"/>
  <c r="CN40" i="24" s="1"/>
  <c r="CL39" i="24"/>
  <c r="CJ37" i="24"/>
  <c r="CM34" i="24"/>
  <c r="CL34" i="24"/>
  <c r="CK34" i="24"/>
  <c r="CJ34" i="24"/>
  <c r="CM33" i="24"/>
  <c r="CL33" i="24"/>
  <c r="CJ33" i="24"/>
  <c r="CN33" i="24" s="1"/>
  <c r="CM32" i="24"/>
  <c r="CL32" i="24"/>
  <c r="CK32" i="24"/>
  <c r="CJ32" i="24"/>
  <c r="CN31" i="24"/>
  <c r="CN30" i="24"/>
  <c r="CN29" i="24"/>
  <c r="CN28" i="24"/>
  <c r="CN27" i="24"/>
  <c r="CN26" i="24"/>
  <c r="CN25" i="24"/>
  <c r="CN24" i="24"/>
  <c r="CN23" i="24"/>
  <c r="CN22" i="24"/>
  <c r="CN21" i="24"/>
  <c r="CN20" i="24"/>
  <c r="CN19" i="24"/>
  <c r="CN18" i="24"/>
  <c r="CN17" i="24"/>
  <c r="CN16" i="24"/>
  <c r="CN15" i="24"/>
  <c r="CN14" i="24"/>
  <c r="CN13" i="24"/>
  <c r="CN12" i="24"/>
  <c r="CN11" i="24"/>
  <c r="CN10" i="24"/>
  <c r="CN9" i="24"/>
  <c r="CN8" i="24"/>
  <c r="CN7" i="24"/>
  <c r="CN6" i="24"/>
  <c r="CN5" i="24"/>
  <c r="CN4" i="24"/>
  <c r="CN3" i="24"/>
  <c r="C58" i="12"/>
  <c r="F58" i="12"/>
  <c r="CF41" i="24"/>
  <c r="W38" i="21"/>
  <c r="CN32" i="24" l="1"/>
  <c r="CN42" i="24"/>
  <c r="CJ52" i="24"/>
  <c r="CL52" i="24"/>
  <c r="CN34" i="24"/>
  <c r="CN50" i="24"/>
  <c r="CN41" i="24"/>
  <c r="CN51" i="24"/>
  <c r="CN39" i="24"/>
  <c r="CN52" i="24" s="1"/>
  <c r="CK52" i="24"/>
  <c r="CG42" i="24"/>
  <c r="CG32" i="24"/>
  <c r="CH41" i="24"/>
  <c r="F57" i="12" l="1"/>
  <c r="C57" i="12"/>
  <c r="CF51" i="24"/>
  <c r="CE51" i="24"/>
  <c r="CG50" i="24"/>
  <c r="CE50" i="24"/>
  <c r="CI50" i="24" s="1"/>
  <c r="CG49" i="24"/>
  <c r="CI49" i="24" s="1"/>
  <c r="CH48" i="24"/>
  <c r="CH52" i="24" s="1"/>
  <c r="CG48" i="24"/>
  <c r="CE48" i="24"/>
  <c r="CG47" i="24"/>
  <c r="CI47" i="24" s="1"/>
  <c r="CG46" i="24"/>
  <c r="CE46" i="24"/>
  <c r="CI46" i="24" s="1"/>
  <c r="CF45" i="24"/>
  <c r="CI45" i="24" s="1"/>
  <c r="CE44" i="24"/>
  <c r="CI44" i="24" s="1"/>
  <c r="CF43" i="24"/>
  <c r="CE42" i="24"/>
  <c r="CG41" i="24"/>
  <c r="CE41" i="24"/>
  <c r="CG40" i="24"/>
  <c r="CI40" i="24" s="1"/>
  <c r="CI39" i="24"/>
  <c r="CG39" i="24"/>
  <c r="CE37" i="24"/>
  <c r="CH34" i="24"/>
  <c r="CG34" i="24"/>
  <c r="CF34" i="24"/>
  <c r="CE34" i="24"/>
  <c r="CI34" i="24" s="1"/>
  <c r="CH33" i="24"/>
  <c r="CG33" i="24"/>
  <c r="CE33" i="24"/>
  <c r="CH32" i="24"/>
  <c r="CF32" i="24"/>
  <c r="CE32" i="24"/>
  <c r="CI31" i="24"/>
  <c r="CI30" i="24"/>
  <c r="CI29" i="24"/>
  <c r="CI28" i="24"/>
  <c r="CI27" i="24"/>
  <c r="CI26" i="24"/>
  <c r="CI25" i="24"/>
  <c r="CI24" i="24"/>
  <c r="CI23" i="24"/>
  <c r="CI22" i="24"/>
  <c r="CI21" i="24"/>
  <c r="CI20" i="24"/>
  <c r="CI19" i="24"/>
  <c r="CI18" i="24"/>
  <c r="CI17" i="24"/>
  <c r="CI16" i="24"/>
  <c r="CI15" i="24"/>
  <c r="CI14" i="24"/>
  <c r="CI13" i="24"/>
  <c r="CI12" i="24"/>
  <c r="CI11" i="24"/>
  <c r="CI10" i="24"/>
  <c r="CI9" i="24"/>
  <c r="CI8" i="24"/>
  <c r="CI7" i="24"/>
  <c r="CI6" i="24"/>
  <c r="CI5" i="24"/>
  <c r="CI4" i="24"/>
  <c r="CI3" i="24"/>
  <c r="CI42" i="24" l="1"/>
  <c r="CI41" i="24"/>
  <c r="CI51" i="24"/>
  <c r="CI48" i="24"/>
  <c r="CE52" i="24"/>
  <c r="CI32" i="24"/>
  <c r="CI33" i="24"/>
  <c r="CG52" i="24"/>
  <c r="CF52" i="24"/>
  <c r="CI43" i="24"/>
  <c r="CI52" i="24" l="1"/>
  <c r="CD4" i="24" l="1"/>
  <c r="CD5" i="24"/>
  <c r="CD6" i="24"/>
  <c r="CD7" i="24"/>
  <c r="CD8" i="24"/>
  <c r="CD9" i="24"/>
  <c r="CD10" i="24"/>
  <c r="CD11" i="24"/>
  <c r="CD12" i="24"/>
  <c r="CD13" i="24"/>
  <c r="CD14" i="24"/>
  <c r="CD15" i="24"/>
  <c r="CD16" i="24"/>
  <c r="CD17" i="24"/>
  <c r="CD18" i="24"/>
  <c r="CD19" i="24"/>
  <c r="CD20" i="24"/>
  <c r="CD21" i="24"/>
  <c r="CD22" i="24"/>
  <c r="CD23" i="24"/>
  <c r="CD24" i="24"/>
  <c r="CD25" i="24"/>
  <c r="CD26" i="24"/>
  <c r="CD27" i="24"/>
  <c r="CD28" i="24"/>
  <c r="CD29" i="24"/>
  <c r="CD30" i="24"/>
  <c r="CD31" i="24"/>
  <c r="CD3" i="24"/>
  <c r="W37" i="21"/>
  <c r="CB51" i="24"/>
  <c r="CA51" i="24"/>
  <c r="BZ51" i="24"/>
  <c r="CD51" i="24" s="1"/>
  <c r="CB50" i="24"/>
  <c r="BZ50" i="24"/>
  <c r="CD50" i="24" s="1"/>
  <c r="CB49" i="24"/>
  <c r="CD49" i="24" s="1"/>
  <c r="CC48" i="24"/>
  <c r="CC52" i="24" s="1"/>
  <c r="CB48" i="24"/>
  <c r="BZ48" i="24"/>
  <c r="CB47" i="24"/>
  <c r="CD47" i="24" s="1"/>
  <c r="CB46" i="24"/>
  <c r="CD46" i="24" s="1"/>
  <c r="BZ46" i="24"/>
  <c r="CA45" i="24"/>
  <c r="CD45" i="24" s="1"/>
  <c r="BZ44" i="24"/>
  <c r="CD44" i="24" s="1"/>
  <c r="CA43" i="24"/>
  <c r="CB42" i="24"/>
  <c r="BZ42" i="24"/>
  <c r="CD42" i="24" s="1"/>
  <c r="CB41" i="24"/>
  <c r="BZ41" i="24"/>
  <c r="CB40" i="24"/>
  <c r="CD40" i="24" s="1"/>
  <c r="CD39" i="24"/>
  <c r="CB39" i="24"/>
  <c r="BZ37" i="24"/>
  <c r="CC34" i="24"/>
  <c r="CB34" i="24"/>
  <c r="CA34" i="24"/>
  <c r="BZ34" i="24"/>
  <c r="CD34" i="24" s="1"/>
  <c r="CC33" i="24"/>
  <c r="CB33" i="24"/>
  <c r="BZ33" i="24"/>
  <c r="CC32" i="24"/>
  <c r="CB32" i="24"/>
  <c r="CA32" i="24"/>
  <c r="BZ32" i="24"/>
  <c r="C56" i="12"/>
  <c r="F56" i="12"/>
  <c r="CD41" i="24" l="1"/>
  <c r="CA52" i="24"/>
  <c r="CD32" i="24"/>
  <c r="CD33" i="24"/>
  <c r="CB52" i="24"/>
  <c r="CD48" i="24"/>
  <c r="BZ52" i="24"/>
  <c r="CD43" i="24"/>
  <c r="CD52" i="24" l="1"/>
  <c r="W36" i="21" l="1"/>
  <c r="BY4" i="24"/>
  <c r="BY5" i="24"/>
  <c r="BY6" i="24"/>
  <c r="BY7" i="24"/>
  <c r="BY8" i="24"/>
  <c r="BY9" i="24"/>
  <c r="BY10" i="24"/>
  <c r="BY11" i="24"/>
  <c r="BY12" i="24"/>
  <c r="BY13" i="24"/>
  <c r="BY14" i="24"/>
  <c r="BY15" i="24"/>
  <c r="BY16" i="24"/>
  <c r="BY17" i="24"/>
  <c r="BY18" i="24"/>
  <c r="BY19" i="24"/>
  <c r="BY20" i="24"/>
  <c r="BY21" i="24"/>
  <c r="BY22" i="24"/>
  <c r="BY23" i="24"/>
  <c r="BY24" i="24"/>
  <c r="BY25" i="24"/>
  <c r="BY26" i="24"/>
  <c r="BY27" i="24"/>
  <c r="BY28" i="24"/>
  <c r="BY29" i="24"/>
  <c r="BY30" i="24"/>
  <c r="BY31" i="24"/>
  <c r="BY3" i="24"/>
  <c r="BW51" i="24"/>
  <c r="BX48" i="24"/>
  <c r="C55" i="12"/>
  <c r="F55" i="12"/>
  <c r="C54" i="12"/>
  <c r="F54" i="12"/>
  <c r="BX52" i="24"/>
  <c r="BV51" i="24"/>
  <c r="BU51" i="24"/>
  <c r="BY51" i="24" s="1"/>
  <c r="BW50" i="24"/>
  <c r="BU50" i="24"/>
  <c r="BY50" i="24" s="1"/>
  <c r="BW49" i="24"/>
  <c r="BY49" i="24" s="1"/>
  <c r="BW48" i="24"/>
  <c r="BU48" i="24"/>
  <c r="BY48" i="24" s="1"/>
  <c r="BW47" i="24"/>
  <c r="BY47" i="24" s="1"/>
  <c r="BY46" i="24"/>
  <c r="BW46" i="24"/>
  <c r="BU46" i="24"/>
  <c r="BY45" i="24"/>
  <c r="BV45" i="24"/>
  <c r="BU44" i="24"/>
  <c r="BY44" i="24" s="1"/>
  <c r="BV43" i="24"/>
  <c r="BW42" i="24"/>
  <c r="BU42" i="24"/>
  <c r="BY42" i="24" s="1"/>
  <c r="BW41" i="24"/>
  <c r="BU41" i="24"/>
  <c r="BW40" i="24"/>
  <c r="BY40" i="24" s="1"/>
  <c r="BW39" i="24"/>
  <c r="BY39" i="24" s="1"/>
  <c r="BU37" i="24"/>
  <c r="BX34" i="24"/>
  <c r="BW34" i="24"/>
  <c r="BV34" i="24"/>
  <c r="BU34" i="24"/>
  <c r="BY34" i="24" s="1"/>
  <c r="BX33" i="24"/>
  <c r="BW33" i="24"/>
  <c r="BU33" i="24"/>
  <c r="BX32" i="24"/>
  <c r="BW32" i="24"/>
  <c r="BV32" i="24"/>
  <c r="BU32" i="24"/>
  <c r="BS52" i="24"/>
  <c r="BQ51" i="24"/>
  <c r="BP51" i="24"/>
  <c r="BT51" i="24" s="1"/>
  <c r="BR50" i="24"/>
  <c r="BP50" i="24"/>
  <c r="BT50" i="24" s="1"/>
  <c r="BR49" i="24"/>
  <c r="BT49" i="24" s="1"/>
  <c r="BR48" i="24"/>
  <c r="BP48" i="24"/>
  <c r="BT48" i="24" s="1"/>
  <c r="BR47" i="24"/>
  <c r="BT47" i="24" s="1"/>
  <c r="BR46" i="24"/>
  <c r="BP46" i="24"/>
  <c r="BT46" i="24" s="1"/>
  <c r="BQ45" i="24"/>
  <c r="BT45" i="24" s="1"/>
  <c r="BP44" i="24"/>
  <c r="BT44" i="24" s="1"/>
  <c r="BQ43" i="24"/>
  <c r="BT43" i="24" s="1"/>
  <c r="BR42" i="24"/>
  <c r="BP42" i="24"/>
  <c r="BT42" i="24" s="1"/>
  <c r="BR41" i="24"/>
  <c r="BP41" i="24"/>
  <c r="BR40" i="24"/>
  <c r="BT40" i="24" s="1"/>
  <c r="BR39" i="24"/>
  <c r="BR52" i="24" s="1"/>
  <c r="BP37" i="24"/>
  <c r="BS34" i="24"/>
  <c r="BR34" i="24"/>
  <c r="BQ34" i="24"/>
  <c r="BP34" i="24"/>
  <c r="BS33" i="24"/>
  <c r="BR33" i="24"/>
  <c r="BP33" i="24"/>
  <c r="BT33" i="24" s="1"/>
  <c r="BS32" i="24"/>
  <c r="BR32" i="24"/>
  <c r="BQ32" i="24"/>
  <c r="BP32" i="24"/>
  <c r="BT31" i="24"/>
  <c r="BT30" i="24"/>
  <c r="BT29" i="24"/>
  <c r="BT28" i="24"/>
  <c r="BT27" i="24"/>
  <c r="BT26" i="24"/>
  <c r="BT25" i="24"/>
  <c r="BT24" i="24"/>
  <c r="BT23" i="24"/>
  <c r="BT22" i="24"/>
  <c r="BT21" i="24"/>
  <c r="BT20" i="24"/>
  <c r="BT19" i="24"/>
  <c r="BT18" i="24"/>
  <c r="BT17" i="24"/>
  <c r="BT16" i="24"/>
  <c r="BT15" i="24"/>
  <c r="BT14" i="24"/>
  <c r="BT13" i="24"/>
  <c r="BT12" i="24"/>
  <c r="BT11" i="24"/>
  <c r="BT10" i="24"/>
  <c r="BT9" i="24"/>
  <c r="BT8" i="24"/>
  <c r="BT7" i="24"/>
  <c r="BT6" i="24"/>
  <c r="BT5" i="24"/>
  <c r="BT4" i="24"/>
  <c r="BT3" i="24"/>
  <c r="BT32" i="24" s="1"/>
  <c r="D200" i="22"/>
  <c r="C199" i="22"/>
  <c r="BV52" i="24" l="1"/>
  <c r="BU52" i="24"/>
  <c r="BY32" i="24"/>
  <c r="BY33" i="24"/>
  <c r="BY41" i="24"/>
  <c r="BY43" i="24"/>
  <c r="BW52" i="24"/>
  <c r="BP52" i="24"/>
  <c r="BT34" i="24"/>
  <c r="BT41" i="24"/>
  <c r="BT39" i="24"/>
  <c r="BT52" i="24" s="1"/>
  <c r="BQ52" i="24"/>
  <c r="BO15" i="24"/>
  <c r="BO10" i="24"/>
  <c r="BO7" i="24"/>
  <c r="BO3" i="24"/>
  <c r="BN32" i="24"/>
  <c r="BN33" i="24"/>
  <c r="BN34" i="24"/>
  <c r="BO34" i="24"/>
  <c r="BO33" i="24"/>
  <c r="BN52" i="24"/>
  <c r="BY52" i="24" l="1"/>
  <c r="A228" i="20"/>
  <c r="F53" i="12"/>
  <c r="W35" i="21"/>
  <c r="BK37" i="24"/>
  <c r="BM39" i="24"/>
  <c r="BO39" i="24" s="1"/>
  <c r="BM40" i="24"/>
  <c r="BK41" i="24"/>
  <c r="BM41" i="24"/>
  <c r="BK42" i="24"/>
  <c r="BM42" i="24"/>
  <c r="BL43" i="24"/>
  <c r="BO43" i="24"/>
  <c r="BK44" i="24"/>
  <c r="BO44" i="24" s="1"/>
  <c r="BL45" i="24"/>
  <c r="BO45" i="24" s="1"/>
  <c r="BK46" i="24"/>
  <c r="BO46" i="24" s="1"/>
  <c r="BM46" i="24"/>
  <c r="BM47" i="24"/>
  <c r="BO47" i="24" s="1"/>
  <c r="BK48" i="24"/>
  <c r="BM48" i="24"/>
  <c r="BM49" i="24"/>
  <c r="BO49" i="24" s="1"/>
  <c r="BK50" i="24"/>
  <c r="BM50" i="24"/>
  <c r="BK51" i="24"/>
  <c r="BL51" i="24"/>
  <c r="BO4" i="24"/>
  <c r="BO5" i="24"/>
  <c r="BO6" i="24"/>
  <c r="BO8" i="24"/>
  <c r="BO9" i="24"/>
  <c r="BO11" i="24"/>
  <c r="BO12" i="24"/>
  <c r="BO13" i="24"/>
  <c r="BO14" i="24"/>
  <c r="BO16" i="24"/>
  <c r="BO17" i="24"/>
  <c r="BO18" i="24"/>
  <c r="BO19" i="24"/>
  <c r="BO20" i="24"/>
  <c r="BO21" i="24"/>
  <c r="BO22" i="24"/>
  <c r="BO23" i="24"/>
  <c r="BO24" i="24"/>
  <c r="BO25" i="24"/>
  <c r="BO26" i="24"/>
  <c r="BO27" i="24"/>
  <c r="BO28" i="24"/>
  <c r="BO29" i="24"/>
  <c r="BO30" i="24"/>
  <c r="BO31" i="24"/>
  <c r="BK32" i="24"/>
  <c r="BL32" i="24"/>
  <c r="BM32" i="24"/>
  <c r="BK33" i="24"/>
  <c r="BM33" i="24"/>
  <c r="BK34" i="24"/>
  <c r="BL34" i="24"/>
  <c r="BM34" i="24"/>
  <c r="C53" i="12"/>
  <c r="BG48" i="24"/>
  <c r="BG32" i="24"/>
  <c r="BG50" i="24"/>
  <c r="BH43" i="24"/>
  <c r="BG42" i="24"/>
  <c r="BG41" i="24"/>
  <c r="BH51" i="24"/>
  <c r="BG51" i="24"/>
  <c r="BG44" i="24"/>
  <c r="BI42" i="24"/>
  <c r="BI41" i="24"/>
  <c r="BJ18" i="24"/>
  <c r="BJ19" i="24"/>
  <c r="BF18" i="24"/>
  <c r="BF19" i="24"/>
  <c r="BB18" i="24"/>
  <c r="BB19" i="24"/>
  <c r="AT18" i="24"/>
  <c r="AT19" i="24"/>
  <c r="AX18" i="24"/>
  <c r="BF14" i="24"/>
  <c r="BF15" i="24"/>
  <c r="BB14" i="24"/>
  <c r="AX14" i="24"/>
  <c r="AT14" i="24"/>
  <c r="BJ14" i="24"/>
  <c r="AT9" i="24"/>
  <c r="AT10" i="24"/>
  <c r="AT11" i="24"/>
  <c r="AT12" i="24"/>
  <c r="AX9" i="24"/>
  <c r="AX10" i="24"/>
  <c r="AX11" i="24"/>
  <c r="BB9" i="24"/>
  <c r="BB10" i="24"/>
  <c r="BF9" i="24"/>
  <c r="BF10" i="24"/>
  <c r="BJ9" i="24"/>
  <c r="BJ8" i="24"/>
  <c r="AT8" i="24"/>
  <c r="AX8" i="24"/>
  <c r="BB8" i="24"/>
  <c r="BF8" i="24"/>
  <c r="BI50" i="24"/>
  <c r="BI49" i="24"/>
  <c r="BJ49" i="24" s="1"/>
  <c r="BI48" i="24"/>
  <c r="BI47" i="24"/>
  <c r="BJ47" i="24" s="1"/>
  <c r="BI46" i="24"/>
  <c r="BG46" i="24"/>
  <c r="BH45" i="24"/>
  <c r="BJ45" i="24" s="1"/>
  <c r="BI40" i="24"/>
  <c r="BJ40" i="24" s="1"/>
  <c r="BI39" i="24"/>
  <c r="BJ39" i="24" s="1"/>
  <c r="BG37" i="24"/>
  <c r="BI34" i="24"/>
  <c r="BH34" i="24"/>
  <c r="BI33" i="24"/>
  <c r="BG33" i="24"/>
  <c r="BI32" i="24"/>
  <c r="BH32" i="24"/>
  <c r="BJ31" i="24"/>
  <c r="BJ30" i="24"/>
  <c r="BJ29" i="24"/>
  <c r="BJ28" i="24"/>
  <c r="BJ27" i="24"/>
  <c r="BJ26" i="24"/>
  <c r="BJ25" i="24"/>
  <c r="BJ24" i="24"/>
  <c r="BJ23" i="24"/>
  <c r="BJ22" i="24"/>
  <c r="BJ21" i="24"/>
  <c r="BJ20" i="24"/>
  <c r="BJ17" i="24"/>
  <c r="BJ16" i="24"/>
  <c r="BJ15" i="24"/>
  <c r="BJ13" i="24"/>
  <c r="BJ12" i="24"/>
  <c r="BJ11" i="24"/>
  <c r="BJ10" i="24"/>
  <c r="BJ7" i="24"/>
  <c r="BJ6" i="24"/>
  <c r="BJ5" i="24"/>
  <c r="BJ4" i="24"/>
  <c r="BJ3" i="24"/>
  <c r="W34" i="21"/>
  <c r="C51" i="12"/>
  <c r="F51" i="12"/>
  <c r="C52" i="12"/>
  <c r="F52" i="12"/>
  <c r="W33" i="21"/>
  <c r="BC51" i="24"/>
  <c r="BF51" i="24" s="1"/>
  <c r="BE50" i="24"/>
  <c r="BC50" i="24"/>
  <c r="BF50" i="24" s="1"/>
  <c r="BE49" i="24"/>
  <c r="BF49" i="24" s="1"/>
  <c r="BE48" i="24"/>
  <c r="BF48" i="24" s="1"/>
  <c r="BE47" i="24"/>
  <c r="BF47" i="24" s="1"/>
  <c r="BE46" i="24"/>
  <c r="BC46" i="24"/>
  <c r="BD45" i="24"/>
  <c r="BF45" i="24" s="1"/>
  <c r="BD43" i="24"/>
  <c r="BE42" i="24"/>
  <c r="BC42" i="24"/>
  <c r="BE41" i="24"/>
  <c r="BC41" i="24"/>
  <c r="BE40" i="24"/>
  <c r="BF40" i="24" s="1"/>
  <c r="BE39" i="24"/>
  <c r="BF39" i="24" s="1"/>
  <c r="BC37" i="24"/>
  <c r="BE34" i="24"/>
  <c r="BD34" i="24"/>
  <c r="BE33" i="24"/>
  <c r="BC33" i="24"/>
  <c r="BE32" i="24"/>
  <c r="BD32" i="24"/>
  <c r="BF31" i="24"/>
  <c r="BF30" i="24"/>
  <c r="BF29" i="24"/>
  <c r="BF28" i="24"/>
  <c r="BF27" i="24"/>
  <c r="BF26" i="24"/>
  <c r="BF25" i="24"/>
  <c r="BF24" i="24"/>
  <c r="BF23" i="24"/>
  <c r="BF22" i="24"/>
  <c r="BF21" i="24"/>
  <c r="BF20" i="24"/>
  <c r="BF17" i="24"/>
  <c r="BF16" i="24"/>
  <c r="BF13" i="24"/>
  <c r="BF12" i="24"/>
  <c r="BF7" i="24"/>
  <c r="BF6" i="24"/>
  <c r="BF5" i="24"/>
  <c r="BF4" i="24"/>
  <c r="BF3" i="24"/>
  <c r="C50" i="12"/>
  <c r="F50" i="12" s="1"/>
  <c r="W32" i="21"/>
  <c r="W31" i="21"/>
  <c r="BO51" i="24" l="1"/>
  <c r="BO42" i="24"/>
  <c r="BO50" i="24"/>
  <c r="BO32" i="24"/>
  <c r="BO48" i="24"/>
  <c r="BL52" i="24"/>
  <c r="BK52" i="24"/>
  <c r="BM52" i="24"/>
  <c r="BO41" i="24"/>
  <c r="BO40" i="24"/>
  <c r="BJ50" i="24"/>
  <c r="BF46" i="24"/>
  <c r="BF33" i="24"/>
  <c r="BJ51" i="24"/>
  <c r="BJ48" i="24"/>
  <c r="BJ42" i="24"/>
  <c r="BJ46" i="24"/>
  <c r="BH52" i="24"/>
  <c r="BJ33" i="24"/>
  <c r="BJ32" i="24"/>
  <c r="BG34" i="24"/>
  <c r="BJ34" i="24" s="1"/>
  <c r="BJ43" i="24"/>
  <c r="BJ44" i="24"/>
  <c r="BJ41" i="24"/>
  <c r="BI52" i="24"/>
  <c r="BD52" i="24"/>
  <c r="BF42" i="24"/>
  <c r="BF43" i="24"/>
  <c r="BF41" i="24"/>
  <c r="BE52" i="24"/>
  <c r="BO52" i="24" l="1"/>
  <c r="BJ52" i="24"/>
  <c r="BG52" i="24"/>
  <c r="AH43" i="24" l="1"/>
  <c r="AL43" i="24"/>
  <c r="AP43" i="24"/>
  <c r="AT43" i="24"/>
  <c r="AX43" i="24"/>
  <c r="AZ43" i="24"/>
  <c r="BB29" i="24"/>
  <c r="BB30" i="24"/>
  <c r="AX29" i="24"/>
  <c r="AX30" i="24"/>
  <c r="AT29" i="24"/>
  <c r="AT30" i="24"/>
  <c r="AP29" i="24"/>
  <c r="AP30" i="24"/>
  <c r="AH28" i="24"/>
  <c r="AH29" i="24"/>
  <c r="AH30" i="24"/>
  <c r="AL29" i="24"/>
  <c r="AL30" i="24"/>
  <c r="C49" i="12"/>
  <c r="F49" i="12" s="1"/>
  <c r="AY51" i="24"/>
  <c r="BB51" i="24" s="1"/>
  <c r="BA50" i="24"/>
  <c r="AY50" i="24"/>
  <c r="BA49" i="24"/>
  <c r="BB49" i="24" s="1"/>
  <c r="BA48" i="24"/>
  <c r="BB48" i="24" s="1"/>
  <c r="BA47" i="24"/>
  <c r="BB47" i="24" s="1"/>
  <c r="BA46" i="24"/>
  <c r="AY46" i="24"/>
  <c r="AZ45" i="24"/>
  <c r="BB45" i="24" s="1"/>
  <c r="AY44" i="24"/>
  <c r="BB44" i="24" s="1"/>
  <c r="BA42" i="24"/>
  <c r="AY42" i="24"/>
  <c r="BA41" i="24"/>
  <c r="AY41" i="24"/>
  <c r="BA40" i="24"/>
  <c r="BB40" i="24" s="1"/>
  <c r="BA39" i="24"/>
  <c r="BB39" i="24" s="1"/>
  <c r="AY37" i="24"/>
  <c r="BA34" i="24"/>
  <c r="AZ34" i="24"/>
  <c r="AY34" i="24"/>
  <c r="BA33" i="24"/>
  <c r="AY33" i="24"/>
  <c r="BA32" i="24"/>
  <c r="AZ32" i="24"/>
  <c r="AY32" i="24"/>
  <c r="BB31" i="24"/>
  <c r="BB28" i="24"/>
  <c r="BB27" i="24"/>
  <c r="BB26" i="24"/>
  <c r="BB25" i="24"/>
  <c r="BB24" i="24"/>
  <c r="BB23" i="24"/>
  <c r="BB22" i="24"/>
  <c r="BB21" i="24"/>
  <c r="BB20" i="24"/>
  <c r="BB17" i="24"/>
  <c r="BB16" i="24"/>
  <c r="BB15" i="24"/>
  <c r="BB13" i="24"/>
  <c r="BB12" i="24"/>
  <c r="BB11" i="24"/>
  <c r="BC11" i="24" s="1"/>
  <c r="BB7" i="24"/>
  <c r="BB6" i="24"/>
  <c r="BB5" i="24"/>
  <c r="BB4" i="24"/>
  <c r="BB3" i="24"/>
  <c r="AZ52" i="24" l="1"/>
  <c r="BC34" i="24"/>
  <c r="BF34" i="24" s="1"/>
  <c r="BC32" i="24"/>
  <c r="BC44" i="24"/>
  <c r="BF11" i="24"/>
  <c r="BF32" i="24" s="1"/>
  <c r="BB43" i="24"/>
  <c r="BB46" i="24"/>
  <c r="BB33" i="24"/>
  <c r="BA52" i="24"/>
  <c r="BB34" i="24"/>
  <c r="BB42" i="24"/>
  <c r="BB50" i="24"/>
  <c r="BB32" i="24"/>
  <c r="BB41" i="24"/>
  <c r="AY52" i="24"/>
  <c r="BB52" i="24" l="1"/>
  <c r="BF44" i="24"/>
  <c r="BF52" i="24" s="1"/>
  <c r="BC52" i="24"/>
  <c r="F48" i="12"/>
  <c r="C48" i="12"/>
  <c r="AU51" i="24" l="1"/>
  <c r="AX51" i="24" s="1"/>
  <c r="AW50" i="24"/>
  <c r="AU50" i="24"/>
  <c r="AW49" i="24"/>
  <c r="AX49" i="24" s="1"/>
  <c r="AW48" i="24"/>
  <c r="AX48" i="24" s="1"/>
  <c r="AW47" i="24"/>
  <c r="AX47" i="24" s="1"/>
  <c r="AW46" i="24"/>
  <c r="AU46" i="24"/>
  <c r="AV45" i="24"/>
  <c r="AX45" i="24" s="1"/>
  <c r="AU44" i="24"/>
  <c r="AX44" i="24" s="1"/>
  <c r="AW42" i="24"/>
  <c r="AU42" i="24"/>
  <c r="AW41" i="24"/>
  <c r="AU41" i="24"/>
  <c r="AW40" i="24"/>
  <c r="AX40" i="24" s="1"/>
  <c r="AW39" i="24"/>
  <c r="AU37" i="24"/>
  <c r="AW34" i="24"/>
  <c r="AV34" i="24"/>
  <c r="AU34" i="24"/>
  <c r="AW33" i="24"/>
  <c r="AU33" i="24"/>
  <c r="AW32" i="24"/>
  <c r="AV32" i="24"/>
  <c r="AU32" i="24"/>
  <c r="AX31" i="24"/>
  <c r="AX28" i="24"/>
  <c r="AX27" i="24"/>
  <c r="AX26" i="24"/>
  <c r="AX25" i="24"/>
  <c r="AX24" i="24"/>
  <c r="AX23" i="24"/>
  <c r="AX22" i="24"/>
  <c r="AX21" i="24"/>
  <c r="AX20" i="24"/>
  <c r="AX19" i="24"/>
  <c r="AX17" i="24"/>
  <c r="AX16" i="24"/>
  <c r="AX15" i="24"/>
  <c r="AX13" i="24"/>
  <c r="AX12" i="24"/>
  <c r="AX7" i="24"/>
  <c r="AX6" i="24"/>
  <c r="AX5" i="24"/>
  <c r="AX4" i="24"/>
  <c r="AX3" i="24"/>
  <c r="AX41" i="24" l="1"/>
  <c r="AX33" i="24"/>
  <c r="AX42" i="24"/>
  <c r="AX50" i="24"/>
  <c r="AX34" i="24"/>
  <c r="AW52" i="24"/>
  <c r="AX39" i="24"/>
  <c r="AX32" i="24"/>
  <c r="AX46" i="24"/>
  <c r="AU52" i="24"/>
  <c r="AX52" i="24" l="1"/>
  <c r="C47" i="12" l="1"/>
  <c r="F47" i="12" s="1"/>
  <c r="W28" i="21"/>
  <c r="W29" i="21"/>
  <c r="W30" i="21"/>
  <c r="W24" i="21"/>
  <c r="W25" i="21"/>
  <c r="W26" i="21"/>
  <c r="W27" i="21"/>
  <c r="AQ46" i="24"/>
  <c r="AQ44" i="24"/>
  <c r="AS50" i="24"/>
  <c r="AT13" i="24"/>
  <c r="AM44" i="24" l="1"/>
  <c r="AP44" i="24" s="1"/>
  <c r="AM41" i="24"/>
  <c r="AM51" i="24"/>
  <c r="AP51" i="24" s="1"/>
  <c r="AM50" i="24"/>
  <c r="AP50" i="24" s="1"/>
  <c r="AO49" i="24"/>
  <c r="AP49" i="24" s="1"/>
  <c r="AO48" i="24"/>
  <c r="AP48" i="24" s="1"/>
  <c r="AO47" i="24"/>
  <c r="AP47" i="24" s="1"/>
  <c r="AO46" i="24"/>
  <c r="AP46" i="24" s="1"/>
  <c r="AN45" i="24"/>
  <c r="AP45" i="24" s="1"/>
  <c r="AO42" i="24"/>
  <c r="AM42" i="24"/>
  <c r="AO41" i="24"/>
  <c r="AO40" i="24"/>
  <c r="AK48" i="24"/>
  <c r="AK42" i="24"/>
  <c r="AK41" i="24"/>
  <c r="AK40" i="24"/>
  <c r="AI41" i="24"/>
  <c r="AI42" i="24"/>
  <c r="AJ45" i="24"/>
  <c r="AI46" i="24"/>
  <c r="AK47" i="24"/>
  <c r="AI48" i="24"/>
  <c r="AK49" i="24"/>
  <c r="AI50" i="24"/>
  <c r="AS33" i="24"/>
  <c r="AQ50" i="24"/>
  <c r="AT50" i="24" s="1"/>
  <c r="AQ51" i="24"/>
  <c r="AT51" i="24" s="1"/>
  <c r="AQ42" i="24"/>
  <c r="AT44" i="24"/>
  <c r="AQ41" i="24"/>
  <c r="AR45" i="24"/>
  <c r="AT45" i="24" s="1"/>
  <c r="AS49" i="24"/>
  <c r="AT49" i="24" s="1"/>
  <c r="AS48" i="24"/>
  <c r="AT48" i="24" s="1"/>
  <c r="AS47" i="24"/>
  <c r="AT47" i="24" s="1"/>
  <c r="AS46" i="24"/>
  <c r="AT46" i="24" s="1"/>
  <c r="AS42" i="24"/>
  <c r="AS41" i="24"/>
  <c r="AS40" i="24"/>
  <c r="AT40" i="24" s="1"/>
  <c r="AS39" i="24"/>
  <c r="AQ37" i="24"/>
  <c r="AS34" i="24"/>
  <c r="AR34" i="24"/>
  <c r="AQ34" i="24"/>
  <c r="AQ33" i="24"/>
  <c r="AS32" i="24"/>
  <c r="AR32" i="24"/>
  <c r="AQ32" i="24"/>
  <c r="AT31" i="24"/>
  <c r="AT28" i="24"/>
  <c r="AT27" i="24"/>
  <c r="AT26" i="24"/>
  <c r="AT25" i="24"/>
  <c r="AT24" i="24"/>
  <c r="AT23" i="24"/>
  <c r="AT22" i="24"/>
  <c r="AT21" i="24"/>
  <c r="AT20" i="24"/>
  <c r="AT17" i="24"/>
  <c r="AT16" i="24"/>
  <c r="AT15" i="24"/>
  <c r="AT7" i="24"/>
  <c r="AT6" i="24"/>
  <c r="AT5" i="24"/>
  <c r="AT4" i="24"/>
  <c r="AT3" i="24"/>
  <c r="AP42" i="24" l="1"/>
  <c r="AP41" i="24"/>
  <c r="AM52" i="24"/>
  <c r="AQ52" i="24"/>
  <c r="AT32" i="24"/>
  <c r="AS52" i="24"/>
  <c r="AT34" i="24"/>
  <c r="AT42" i="24"/>
  <c r="AT41" i="24"/>
  <c r="AT33" i="24"/>
  <c r="AT39" i="24"/>
  <c r="AT52" i="24" l="1"/>
  <c r="C42" i="12"/>
  <c r="C43" i="12"/>
  <c r="C44" i="12"/>
  <c r="F44" i="12" s="1"/>
  <c r="C45" i="12"/>
  <c r="C46" i="12"/>
  <c r="C41" i="12"/>
  <c r="C40" i="12"/>
  <c r="F40" i="12"/>
  <c r="F41" i="12"/>
  <c r="F42" i="12"/>
  <c r="F43" i="12"/>
  <c r="F45" i="12"/>
  <c r="F46" i="12"/>
  <c r="AP23" i="24" l="1"/>
  <c r="AP12" i="24"/>
  <c r="N12" i="24"/>
  <c r="J12" i="24"/>
  <c r="F12" i="24"/>
  <c r="AO39" i="24"/>
  <c r="AP39" i="24" s="1"/>
  <c r="AM37" i="24"/>
  <c r="AO34" i="24"/>
  <c r="AN34" i="24"/>
  <c r="AO33" i="24"/>
  <c r="AM33" i="24"/>
  <c r="AO32" i="24"/>
  <c r="AN32" i="24"/>
  <c r="AP31" i="24"/>
  <c r="AP28" i="24"/>
  <c r="AP27" i="24"/>
  <c r="AP26" i="24"/>
  <c r="AP25" i="24"/>
  <c r="AP24" i="24"/>
  <c r="AP22" i="24"/>
  <c r="AP21" i="24"/>
  <c r="AP20" i="24"/>
  <c r="AP19" i="24"/>
  <c r="AP17" i="24"/>
  <c r="AP16" i="24"/>
  <c r="AP15" i="24"/>
  <c r="AP10" i="24"/>
  <c r="AP7" i="24"/>
  <c r="AP6" i="24"/>
  <c r="AP5" i="24"/>
  <c r="AP4" i="24"/>
  <c r="AP3" i="24"/>
  <c r="AO52" i="24" l="1"/>
  <c r="AP33" i="24"/>
  <c r="AM34" i="24"/>
  <c r="AP34" i="24" s="1"/>
  <c r="AP40" i="24"/>
  <c r="AP52" i="24" s="1"/>
  <c r="AM32" i="24"/>
  <c r="AP11" i="24"/>
  <c r="AP32" i="24" s="1"/>
  <c r="AI37" i="24" l="1"/>
  <c r="AE37" i="24"/>
  <c r="A226" i="20"/>
  <c r="A225" i="20"/>
  <c r="AI11" i="24" l="1"/>
  <c r="AI44" i="24" s="1"/>
  <c r="AL28" i="24"/>
  <c r="AE32" i="24"/>
  <c r="AK39" i="24" l="1"/>
  <c r="AL39" i="24" s="1"/>
  <c r="AL40" i="24"/>
  <c r="AL44" i="24"/>
  <c r="AL45" i="24"/>
  <c r="AL46" i="24"/>
  <c r="AL47" i="24"/>
  <c r="AL48" i="24"/>
  <c r="AL49" i="24"/>
  <c r="AL50" i="24"/>
  <c r="AL3" i="24"/>
  <c r="AL4" i="24"/>
  <c r="AL5" i="24"/>
  <c r="AL6" i="24"/>
  <c r="AL7" i="24"/>
  <c r="AL10" i="24"/>
  <c r="AL11" i="24"/>
  <c r="AL15" i="24"/>
  <c r="AL16" i="24"/>
  <c r="AL17" i="24"/>
  <c r="AL19" i="24"/>
  <c r="AL20" i="24"/>
  <c r="AL21" i="24"/>
  <c r="AL22" i="24"/>
  <c r="AL24" i="24"/>
  <c r="AL25" i="24"/>
  <c r="AL26" i="24"/>
  <c r="AL27" i="24"/>
  <c r="AL31" i="24"/>
  <c r="AI32" i="24"/>
  <c r="AJ32" i="24"/>
  <c r="AK32" i="24"/>
  <c r="AI33" i="24"/>
  <c r="AK33" i="24"/>
  <c r="AI34" i="24"/>
  <c r="AJ34" i="24"/>
  <c r="AK34" i="24"/>
  <c r="AL34" i="24" l="1"/>
  <c r="AI52" i="24"/>
  <c r="AK52" i="24"/>
  <c r="AL33" i="24"/>
  <c r="AL32" i="24"/>
  <c r="AL41" i="24"/>
  <c r="AL42" i="24"/>
  <c r="AL52" i="24" l="1"/>
  <c r="AG39" i="24" l="1"/>
  <c r="AH39" i="24" s="1"/>
  <c r="AG40" i="24"/>
  <c r="AH40" i="24" s="1"/>
  <c r="AE41" i="24"/>
  <c r="AG41" i="24"/>
  <c r="AE42" i="24"/>
  <c r="AG42" i="24"/>
  <c r="AE44" i="24"/>
  <c r="AH44" i="24" s="1"/>
  <c r="AF45" i="24"/>
  <c r="AH45" i="24" s="1"/>
  <c r="AE46" i="24"/>
  <c r="AH46" i="24" s="1"/>
  <c r="AG47" i="24"/>
  <c r="AH47" i="24" s="1"/>
  <c r="AE48" i="24"/>
  <c r="AH48" i="24" s="1"/>
  <c r="AG49" i="24"/>
  <c r="AH49" i="24" s="1"/>
  <c r="AE50" i="24"/>
  <c r="AH50" i="24" s="1"/>
  <c r="AH3" i="24"/>
  <c r="AH4" i="24"/>
  <c r="AH5" i="24"/>
  <c r="AH6" i="24"/>
  <c r="AH7" i="24"/>
  <c r="AH10" i="24"/>
  <c r="AH11" i="24"/>
  <c r="AH15" i="24"/>
  <c r="AH16" i="24"/>
  <c r="AH17" i="24"/>
  <c r="AH19" i="24"/>
  <c r="AH20" i="24"/>
  <c r="AH21" i="24"/>
  <c r="AH22" i="24"/>
  <c r="AH24" i="24"/>
  <c r="AH25" i="24"/>
  <c r="AH26" i="24"/>
  <c r="AH27" i="24"/>
  <c r="AH31" i="24"/>
  <c r="AF32" i="24"/>
  <c r="AG32" i="24"/>
  <c r="AE33" i="24"/>
  <c r="AG33" i="24"/>
  <c r="AE34" i="24"/>
  <c r="AF34" i="24"/>
  <c r="AG34" i="24"/>
  <c r="Q48" i="24"/>
  <c r="U48" i="24"/>
  <c r="Y48" i="24"/>
  <c r="AB45" i="24"/>
  <c r="AD45" i="24" s="1"/>
  <c r="X45" i="24"/>
  <c r="Z45" i="24" s="1"/>
  <c r="T45" i="24"/>
  <c r="V45" i="24" s="1"/>
  <c r="P45" i="24"/>
  <c r="R45" i="24" s="1"/>
  <c r="AH42" i="24" l="1"/>
  <c r="AG52" i="24"/>
  <c r="AH41" i="24"/>
  <c r="AH33" i="24"/>
  <c r="AH34" i="24"/>
  <c r="AE52" i="24"/>
  <c r="AH32" i="24"/>
  <c r="AH52" i="24" l="1"/>
  <c r="G27" i="21"/>
  <c r="G28" i="21"/>
  <c r="Z11" i="24" l="1"/>
  <c r="V11" i="24"/>
  <c r="AC39" i="24"/>
  <c r="AD39" i="24" s="1"/>
  <c r="AC40" i="24"/>
  <c r="AD40" i="24" s="1"/>
  <c r="AA41" i="24"/>
  <c r="AC41" i="24"/>
  <c r="AA42" i="24"/>
  <c r="AC42" i="24"/>
  <c r="AA44" i="24"/>
  <c r="AD44" i="24" s="1"/>
  <c r="AA46" i="24"/>
  <c r="AD46" i="24" s="1"/>
  <c r="AC47" i="24"/>
  <c r="AD47" i="24" s="1"/>
  <c r="AA48" i="24"/>
  <c r="AD48" i="24" s="1"/>
  <c r="AC49" i="24"/>
  <c r="AD49" i="24" s="1"/>
  <c r="AA50" i="24"/>
  <c r="AD50" i="24" s="1"/>
  <c r="AD3" i="24"/>
  <c r="AD4" i="24"/>
  <c r="AD5" i="24"/>
  <c r="AD6" i="24"/>
  <c r="AD7" i="24"/>
  <c r="AD10" i="24"/>
  <c r="AD11" i="24"/>
  <c r="AD15" i="24"/>
  <c r="AD16" i="24"/>
  <c r="AD17" i="24"/>
  <c r="AD19" i="24"/>
  <c r="AD20" i="24"/>
  <c r="AD21" i="24"/>
  <c r="AD22" i="24"/>
  <c r="AD24" i="24"/>
  <c r="AD25" i="24"/>
  <c r="AD26" i="24"/>
  <c r="AD27" i="24"/>
  <c r="AD31" i="24"/>
  <c r="AA32" i="24"/>
  <c r="AB32" i="24"/>
  <c r="AC32" i="24"/>
  <c r="AA33" i="24"/>
  <c r="AC33" i="24"/>
  <c r="AA34" i="24"/>
  <c r="AB34" i="24"/>
  <c r="AC34" i="24"/>
  <c r="AC52" i="24" l="1"/>
  <c r="AD34" i="24"/>
  <c r="AD42" i="24"/>
  <c r="AD41" i="24"/>
  <c r="AD33" i="24"/>
  <c r="AD32" i="24"/>
  <c r="AA52" i="24"/>
  <c r="AD52" i="24" l="1"/>
  <c r="W50" i="24" l="1"/>
  <c r="Z50" i="24" s="1"/>
  <c r="Y49" i="24"/>
  <c r="Z49" i="24" s="1"/>
  <c r="W48" i="24"/>
  <c r="Z48" i="24" s="1"/>
  <c r="Y47" i="24"/>
  <c r="Z47" i="24" s="1"/>
  <c r="W46" i="24"/>
  <c r="Z46" i="24" s="1"/>
  <c r="W44" i="24"/>
  <c r="Z44" i="24" s="1"/>
  <c r="Y42" i="24"/>
  <c r="W42" i="24"/>
  <c r="Y41" i="24"/>
  <c r="W41" i="24"/>
  <c r="Y40" i="24"/>
  <c r="Z40" i="24" s="1"/>
  <c r="Y39" i="24"/>
  <c r="Z39" i="24" s="1"/>
  <c r="Y34" i="24"/>
  <c r="X34" i="24"/>
  <c r="W34" i="24"/>
  <c r="Y33" i="24"/>
  <c r="W33" i="24"/>
  <c r="Y32" i="24"/>
  <c r="X32" i="24"/>
  <c r="W32" i="24"/>
  <c r="Z31" i="24"/>
  <c r="Z27" i="24"/>
  <c r="Z26" i="24"/>
  <c r="Z25" i="24"/>
  <c r="Z24" i="24"/>
  <c r="Z22" i="24"/>
  <c r="Z21" i="24"/>
  <c r="Z20" i="24"/>
  <c r="Z19" i="24"/>
  <c r="Z17" i="24"/>
  <c r="Z16" i="24"/>
  <c r="Z15" i="24"/>
  <c r="Z10" i="24"/>
  <c r="Z7" i="24"/>
  <c r="Z6" i="24"/>
  <c r="Z5" i="24"/>
  <c r="Z4" i="24"/>
  <c r="Z3" i="24"/>
  <c r="I33" i="24"/>
  <c r="H33" i="24"/>
  <c r="G33" i="24"/>
  <c r="E34" i="24"/>
  <c r="D34" i="24"/>
  <c r="C34" i="24"/>
  <c r="I34" i="24"/>
  <c r="H34" i="24"/>
  <c r="G34" i="24"/>
  <c r="M34" i="24"/>
  <c r="L34" i="24"/>
  <c r="K34" i="24"/>
  <c r="Q34" i="24"/>
  <c r="P34" i="24"/>
  <c r="O34" i="24"/>
  <c r="U33" i="24"/>
  <c r="U34" i="24"/>
  <c r="S34" i="24"/>
  <c r="C33" i="24"/>
  <c r="K33" i="24"/>
  <c r="O33" i="24"/>
  <c r="S33" i="24"/>
  <c r="T34" i="24"/>
  <c r="D33" i="24"/>
  <c r="L33" i="24"/>
  <c r="P33" i="24"/>
  <c r="E33" i="24"/>
  <c r="M33" i="24"/>
  <c r="Q33" i="24"/>
  <c r="C39" i="12"/>
  <c r="F39" i="12"/>
  <c r="C38" i="12"/>
  <c r="F38" i="12" s="1"/>
  <c r="T32" i="24"/>
  <c r="V5" i="24"/>
  <c r="K194" i="20"/>
  <c r="J34" i="24" l="1"/>
  <c r="J33" i="24"/>
  <c r="R34" i="24"/>
  <c r="V34" i="24"/>
  <c r="R33" i="24"/>
  <c r="N33" i="24"/>
  <c r="F33" i="24"/>
  <c r="Z42" i="24"/>
  <c r="F34" i="24"/>
  <c r="N34" i="24"/>
  <c r="W52" i="24"/>
  <c r="Y52" i="24"/>
  <c r="Z33" i="24"/>
  <c r="Z41" i="24"/>
  <c r="Z32" i="24"/>
  <c r="Z34" i="24"/>
  <c r="V33" i="24"/>
  <c r="Z52" i="24" l="1"/>
  <c r="U39" i="24"/>
  <c r="V39" i="24" s="1"/>
  <c r="U40" i="24"/>
  <c r="V40" i="24" s="1"/>
  <c r="S41" i="24"/>
  <c r="U41" i="24"/>
  <c r="S42" i="24"/>
  <c r="U42" i="24"/>
  <c r="S44" i="24"/>
  <c r="V44" i="24" s="1"/>
  <c r="S46" i="24"/>
  <c r="V46" i="24" s="1"/>
  <c r="U47" i="24"/>
  <c r="V47" i="24" s="1"/>
  <c r="S48" i="24"/>
  <c r="V48" i="24" s="1"/>
  <c r="U49" i="24"/>
  <c r="V49" i="24" s="1"/>
  <c r="S50" i="24"/>
  <c r="V50" i="24" s="1"/>
  <c r="V3" i="24"/>
  <c r="V4" i="24"/>
  <c r="V6" i="24"/>
  <c r="V7" i="24"/>
  <c r="V10" i="24"/>
  <c r="V15" i="24"/>
  <c r="V16" i="24"/>
  <c r="V17" i="24"/>
  <c r="V19" i="24"/>
  <c r="V20" i="24"/>
  <c r="V21" i="24"/>
  <c r="V22" i="24"/>
  <c r="V24" i="24"/>
  <c r="V25" i="24"/>
  <c r="V26" i="24"/>
  <c r="V27" i="24"/>
  <c r="V31" i="24"/>
  <c r="S32" i="24"/>
  <c r="U32" i="24"/>
  <c r="V32" i="24" l="1"/>
  <c r="V41" i="24"/>
  <c r="V42" i="24"/>
  <c r="U52" i="24"/>
  <c r="S52" i="24"/>
  <c r="V52" i="24" l="1"/>
  <c r="Q39" i="24"/>
  <c r="R39" i="24" s="1"/>
  <c r="Q40" i="24"/>
  <c r="R40" i="24" s="1"/>
  <c r="O41" i="24"/>
  <c r="Q41" i="24"/>
  <c r="O42" i="24"/>
  <c r="Q42" i="24"/>
  <c r="O44" i="24"/>
  <c r="R44" i="24" s="1"/>
  <c r="O46" i="24"/>
  <c r="R46" i="24" s="1"/>
  <c r="Q47" i="24"/>
  <c r="R47" i="24" s="1"/>
  <c r="O48" i="24"/>
  <c r="R48" i="24" s="1"/>
  <c r="Q49" i="24"/>
  <c r="R49" i="24" s="1"/>
  <c r="O50" i="24"/>
  <c r="R50" i="24" s="1"/>
  <c r="R3" i="24"/>
  <c r="R4" i="24"/>
  <c r="R6" i="24"/>
  <c r="R7" i="24"/>
  <c r="R10" i="24"/>
  <c r="R11" i="24"/>
  <c r="R15" i="24"/>
  <c r="R16" i="24"/>
  <c r="R17" i="24"/>
  <c r="R19" i="24"/>
  <c r="R20" i="24"/>
  <c r="R21" i="24"/>
  <c r="R22" i="24"/>
  <c r="R24" i="24"/>
  <c r="R25" i="24"/>
  <c r="R26" i="24"/>
  <c r="R27" i="24"/>
  <c r="R31" i="24"/>
  <c r="O32" i="24"/>
  <c r="Q32" i="24"/>
  <c r="R42" i="24" l="1"/>
  <c r="Q52" i="24"/>
  <c r="R32" i="24"/>
  <c r="R41" i="24"/>
  <c r="O52" i="24"/>
  <c r="R52" i="24" l="1"/>
  <c r="T68" i="12" l="1"/>
  <c r="T69" i="12" s="1"/>
  <c r="O65" i="12"/>
  <c r="O64" i="12"/>
  <c r="M66" i="12"/>
  <c r="L66" i="12"/>
  <c r="C34" i="12"/>
  <c r="F35" i="12"/>
  <c r="F36" i="12"/>
  <c r="H39" i="26"/>
  <c r="C37" i="12"/>
  <c r="F37" i="12"/>
  <c r="B46" i="26"/>
  <c r="B47" i="26" s="1"/>
  <c r="C45" i="26"/>
  <c r="F45" i="26" s="1"/>
  <c r="F44" i="26"/>
  <c r="C44" i="26"/>
  <c r="F43" i="26"/>
  <c r="C43" i="26"/>
  <c r="C42" i="26"/>
  <c r="F42" i="26" s="1"/>
  <c r="M41" i="26"/>
  <c r="C41" i="26"/>
  <c r="F41" i="26" s="1"/>
  <c r="F40" i="26"/>
  <c r="H40" i="26" s="1"/>
  <c r="C40" i="26"/>
  <c r="F39" i="26"/>
  <c r="C39" i="26"/>
  <c r="F38" i="26"/>
  <c r="M37" i="26"/>
  <c r="F37" i="26"/>
  <c r="K36" i="26"/>
  <c r="F36" i="26"/>
  <c r="F35" i="26"/>
  <c r="H33" i="26"/>
  <c r="H31" i="26"/>
  <c r="F31" i="26"/>
  <c r="B31" i="26"/>
  <c r="B32" i="26" s="1"/>
  <c r="H30" i="26"/>
  <c r="F30" i="26"/>
  <c r="B29" i="26"/>
  <c r="F29" i="26" s="1"/>
  <c r="F28" i="26"/>
  <c r="F27" i="26"/>
  <c r="F26" i="26"/>
  <c r="B26" i="26"/>
  <c r="B25" i="26"/>
  <c r="F25" i="26" s="1"/>
  <c r="B24" i="26"/>
  <c r="F24" i="26" s="1"/>
  <c r="B23" i="26"/>
  <c r="F23" i="26" s="1"/>
  <c r="F22" i="26"/>
  <c r="B22" i="26"/>
  <c r="B21" i="26"/>
  <c r="F21" i="26" s="1"/>
  <c r="B20" i="26"/>
  <c r="F20" i="26" s="1"/>
  <c r="B19" i="26"/>
  <c r="F19" i="26" s="1"/>
  <c r="F18" i="26"/>
  <c r="B18" i="26"/>
  <c r="B17" i="26"/>
  <c r="F17" i="26" s="1"/>
  <c r="F16" i="26"/>
  <c r="B16" i="26"/>
  <c r="E15" i="26"/>
  <c r="F15" i="26" s="1"/>
  <c r="F14" i="26"/>
  <c r="E14" i="26"/>
  <c r="E13" i="26"/>
  <c r="F13" i="26" s="1"/>
  <c r="F12" i="26"/>
  <c r="E12" i="26"/>
  <c r="E11" i="26"/>
  <c r="F11" i="26" s="1"/>
  <c r="F10" i="26"/>
  <c r="E10" i="26"/>
  <c r="E9" i="26"/>
  <c r="F9" i="26" s="1"/>
  <c r="B9" i="26"/>
  <c r="F8" i="26"/>
  <c r="E8" i="26"/>
  <c r="D4" i="26"/>
  <c r="D5" i="26" s="1"/>
  <c r="D3" i="26"/>
  <c r="B48" i="26" l="1"/>
  <c r="F48" i="26" s="1"/>
  <c r="F47" i="26"/>
  <c r="B33" i="26"/>
  <c r="F32" i="26"/>
  <c r="F46" i="26"/>
  <c r="F33" i="26" l="1"/>
  <c r="B34" i="26"/>
  <c r="F34" i="26" s="1"/>
  <c r="N10" i="24" l="1"/>
  <c r="N11" i="24"/>
  <c r="N15" i="24"/>
  <c r="J11" i="24"/>
  <c r="J10" i="24"/>
  <c r="K50" i="24"/>
  <c r="N50" i="24" s="1"/>
  <c r="M49" i="24"/>
  <c r="N49" i="24" s="1"/>
  <c r="K48" i="24"/>
  <c r="N48" i="24" s="1"/>
  <c r="M47" i="24"/>
  <c r="N47" i="24" s="1"/>
  <c r="K46" i="24"/>
  <c r="N46" i="24" s="1"/>
  <c r="K44" i="24"/>
  <c r="N44" i="24" s="1"/>
  <c r="M42" i="24"/>
  <c r="K42" i="24"/>
  <c r="M41" i="24"/>
  <c r="K41" i="24"/>
  <c r="M40" i="24"/>
  <c r="M39" i="24"/>
  <c r="N39" i="24" s="1"/>
  <c r="M32" i="24"/>
  <c r="K32" i="24"/>
  <c r="N31" i="24"/>
  <c r="N27" i="24"/>
  <c r="N26" i="24"/>
  <c r="N25" i="24"/>
  <c r="N24" i="24"/>
  <c r="N22" i="24"/>
  <c r="N21" i="24"/>
  <c r="N20" i="24"/>
  <c r="N19" i="24"/>
  <c r="N17" i="24"/>
  <c r="N16" i="24"/>
  <c r="N7" i="24"/>
  <c r="N6" i="24"/>
  <c r="N4" i="24"/>
  <c r="N3" i="24"/>
  <c r="N42" i="24" l="1"/>
  <c r="N32" i="24"/>
  <c r="M52" i="24"/>
  <c r="K52" i="24"/>
  <c r="N40" i="24"/>
  <c r="N41" i="24"/>
  <c r="N52" i="24" l="1"/>
  <c r="G48" i="24" l="1"/>
  <c r="J48" i="24" s="1"/>
  <c r="J7" i="24"/>
  <c r="F7" i="24"/>
  <c r="I39" i="24"/>
  <c r="I40" i="24"/>
  <c r="J40" i="24" s="1"/>
  <c r="I41" i="24"/>
  <c r="I42" i="24"/>
  <c r="I47" i="24"/>
  <c r="J47" i="24" s="1"/>
  <c r="I49" i="24"/>
  <c r="J49" i="24" s="1"/>
  <c r="G50" i="24"/>
  <c r="J50" i="24" s="1"/>
  <c r="G46" i="24"/>
  <c r="J46" i="24" s="1"/>
  <c r="G44" i="24"/>
  <c r="J44" i="24" s="1"/>
  <c r="G42" i="24"/>
  <c r="G41" i="24"/>
  <c r="E39" i="24"/>
  <c r="F39" i="24" s="1"/>
  <c r="E40" i="24"/>
  <c r="F40" i="24" s="1"/>
  <c r="E41" i="24"/>
  <c r="E42" i="24"/>
  <c r="E47" i="24"/>
  <c r="F47" i="24" s="1"/>
  <c r="E49" i="24"/>
  <c r="E50" i="24"/>
  <c r="C50" i="24"/>
  <c r="C49" i="24"/>
  <c r="C48" i="24"/>
  <c r="F48" i="24" s="1"/>
  <c r="C46" i="24"/>
  <c r="F46" i="24" s="1"/>
  <c r="C44" i="24"/>
  <c r="F44" i="24" s="1"/>
  <c r="C42" i="24"/>
  <c r="C41" i="24"/>
  <c r="E32" i="24"/>
  <c r="G32" i="24"/>
  <c r="I32" i="24"/>
  <c r="C32" i="24"/>
  <c r="J31" i="24"/>
  <c r="J27" i="24"/>
  <c r="J26" i="24"/>
  <c r="J25" i="24"/>
  <c r="J24" i="24"/>
  <c r="J22" i="24"/>
  <c r="J21" i="24"/>
  <c r="J20" i="24"/>
  <c r="J19" i="24"/>
  <c r="J17" i="24"/>
  <c r="J16" i="24"/>
  <c r="J15" i="24"/>
  <c r="J6" i="24"/>
  <c r="J4" i="24"/>
  <c r="J3" i="24"/>
  <c r="F31" i="24"/>
  <c r="F25" i="24"/>
  <c r="F26" i="24"/>
  <c r="F27" i="24"/>
  <c r="F24" i="24"/>
  <c r="F19" i="24"/>
  <c r="F20" i="24"/>
  <c r="F21" i="24"/>
  <c r="F22" i="24"/>
  <c r="F15" i="24"/>
  <c r="F16" i="24"/>
  <c r="F17" i="24"/>
  <c r="F10" i="24"/>
  <c r="F11" i="24"/>
  <c r="F3" i="24"/>
  <c r="F4" i="24"/>
  <c r="F6" i="24"/>
  <c r="F42" i="24" l="1"/>
  <c r="J41" i="24"/>
  <c r="F41" i="24"/>
  <c r="F49" i="24"/>
  <c r="F50" i="24"/>
  <c r="I52" i="24"/>
  <c r="J42" i="24"/>
  <c r="E52" i="24"/>
  <c r="G52" i="24"/>
  <c r="J39" i="24"/>
  <c r="F32" i="24"/>
  <c r="C52" i="24"/>
  <c r="J32" i="24"/>
  <c r="J52" i="24" l="1"/>
  <c r="F52" i="24"/>
  <c r="F34" i="12"/>
  <c r="J48" i="12" s="1"/>
  <c r="F33" i="12"/>
  <c r="F57" i="14" l="1"/>
  <c r="B26" i="12"/>
  <c r="F11" i="12" l="1"/>
  <c r="C26" i="12"/>
  <c r="C27" i="12" s="1"/>
  <c r="C28" i="12" s="1"/>
  <c r="F26" i="12" l="1"/>
  <c r="F29" i="12"/>
  <c r="F28" i="12"/>
  <c r="F27" i="12"/>
  <c r="F32" i="12" l="1"/>
  <c r="F30" i="12"/>
  <c r="F25" i="12"/>
  <c r="F24" i="12"/>
  <c r="F23" i="12"/>
  <c r="F22" i="12"/>
  <c r="F31" i="12" l="1"/>
  <c r="F21" i="12"/>
  <c r="F20" i="12" l="1"/>
  <c r="F19" i="12"/>
  <c r="B18" i="12" l="1"/>
  <c r="F18" i="12" s="1"/>
  <c r="F17" i="12"/>
  <c r="F16" i="12" l="1"/>
  <c r="F15" i="12"/>
  <c r="F14" i="12" l="1"/>
  <c r="AC1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H7" i="9"/>
  <c r="H21" i="9"/>
  <c r="H34" i="9"/>
  <c r="H56" i="9"/>
  <c r="H71" i="9"/>
  <c r="H72" i="9"/>
  <c r="H73" i="9"/>
  <c r="H75" i="9"/>
  <c r="H76" i="9"/>
  <c r="H78" i="9"/>
  <c r="H79" i="9"/>
  <c r="H80" i="9"/>
  <c r="H81" i="9"/>
  <c r="H83" i="9"/>
  <c r="H84" i="9"/>
  <c r="H86" i="9"/>
  <c r="H87" i="9"/>
  <c r="H88" i="9"/>
  <c r="H89" i="9"/>
  <c r="H90" i="9"/>
  <c r="H91" i="9"/>
  <c r="H92" i="9"/>
  <c r="H93" i="9"/>
  <c r="H95" i="9"/>
  <c r="H96" i="9"/>
  <c r="H97" i="9"/>
  <c r="H98" i="9"/>
  <c r="H99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29" i="9"/>
  <c r="H139" i="9"/>
  <c r="H140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5" i="9"/>
  <c r="H156" i="9"/>
  <c r="H159" i="9"/>
  <c r="H160" i="9"/>
  <c r="H161" i="9"/>
  <c r="H162" i="9"/>
  <c r="H163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2" i="9"/>
  <c r="H183" i="9"/>
  <c r="H184" i="9"/>
  <c r="F13" i="12"/>
  <c r="AB56" i="11"/>
  <c r="AA56" i="11"/>
  <c r="F12" i="12"/>
  <c r="G12" i="12" s="1"/>
  <c r="H12" i="12" s="1"/>
  <c r="I12" i="12" s="1"/>
  <c r="Z56" i="11"/>
  <c r="Y56" i="11"/>
  <c r="F10" i="12" l="1"/>
  <c r="E11" i="19" l="1"/>
  <c r="T30" i="19"/>
  <c r="S30" i="19"/>
  <c r="R30" i="19"/>
  <c r="Q30" i="19"/>
  <c r="P30" i="19"/>
  <c r="O30" i="19"/>
  <c r="N30" i="19"/>
  <c r="M30" i="19"/>
  <c r="L30" i="19"/>
  <c r="K30" i="19"/>
  <c r="E10" i="19"/>
  <c r="E9" i="19"/>
  <c r="E8" i="19"/>
  <c r="E7" i="19"/>
  <c r="D6" i="19"/>
  <c r="E6" i="19" s="1"/>
  <c r="C5" i="19"/>
  <c r="B4" i="19"/>
  <c r="B5" i="19" s="1"/>
  <c r="E3" i="19"/>
  <c r="E4" i="19" l="1"/>
  <c r="E5" i="19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10" i="1"/>
  <c r="D10" i="1"/>
  <c r="X56" i="11"/>
  <c r="W56" i="11"/>
  <c r="F9" i="12"/>
  <c r="V56" i="11" l="1"/>
  <c r="U56" i="11"/>
  <c r="T56" i="11"/>
  <c r="S56" i="11"/>
  <c r="U11" i="14" l="1"/>
  <c r="U10" i="14"/>
  <c r="AA13" i="14"/>
  <c r="Z13" i="14"/>
  <c r="Y13" i="14"/>
  <c r="X13" i="14"/>
  <c r="W13" i="14"/>
  <c r="V13" i="14"/>
  <c r="T13" i="14"/>
  <c r="S13" i="14"/>
  <c r="R13" i="14"/>
  <c r="Q13" i="14"/>
  <c r="P13" i="14"/>
  <c r="O13" i="14"/>
  <c r="N13" i="14"/>
  <c r="M13" i="14"/>
  <c r="L13" i="14"/>
  <c r="J56" i="11"/>
  <c r="K56" i="11"/>
  <c r="L56" i="11"/>
  <c r="M56" i="11"/>
  <c r="N56" i="11"/>
  <c r="O56" i="11"/>
  <c r="P56" i="11"/>
  <c r="Q56" i="11"/>
  <c r="R56" i="11"/>
  <c r="I56" i="11"/>
  <c r="U13" i="14" l="1"/>
  <c r="F8" i="12" l="1"/>
  <c r="F7" i="12"/>
  <c r="D6" i="12"/>
  <c r="C5" i="12"/>
  <c r="B4" i="12"/>
  <c r="B5" i="12" s="1"/>
  <c r="F3" i="12"/>
  <c r="F4" i="12" l="1"/>
  <c r="F6" i="12"/>
  <c r="F5" i="12"/>
  <c r="F6" i="4"/>
  <c r="D6" i="4"/>
  <c r="B6" i="4"/>
  <c r="K179" i="6"/>
  <c r="K180" i="6" s="1"/>
  <c r="J167" i="6"/>
  <c r="D4" i="5"/>
  <c r="E4" i="5"/>
  <c r="F4" i="5"/>
  <c r="G4" i="5"/>
  <c r="G5" i="5" s="1"/>
  <c r="H4" i="5"/>
  <c r="I4" i="5"/>
  <c r="I5" i="5" s="1"/>
  <c r="J4" i="5"/>
  <c r="K4" i="5"/>
  <c r="K5" i="5" s="1"/>
  <c r="L4" i="5"/>
  <c r="M4" i="5"/>
  <c r="N4" i="5"/>
  <c r="O4" i="5"/>
  <c r="P4" i="5"/>
  <c r="Q4" i="5"/>
  <c r="Q5" i="5" s="1"/>
  <c r="R4" i="5"/>
  <c r="S4" i="5"/>
  <c r="S5" i="5" s="1"/>
  <c r="T4" i="5"/>
  <c r="U4" i="5"/>
  <c r="V4" i="5"/>
  <c r="W4" i="5"/>
  <c r="X4" i="5"/>
  <c r="D5" i="5"/>
  <c r="E5" i="5"/>
  <c r="F5" i="5"/>
  <c r="H5" i="5"/>
  <c r="J5" i="5"/>
  <c r="L5" i="5"/>
  <c r="M5" i="5"/>
  <c r="N5" i="5"/>
  <c r="O5" i="5"/>
  <c r="P5" i="5"/>
  <c r="R5" i="5"/>
  <c r="T5" i="5"/>
  <c r="U5" i="5"/>
  <c r="V5" i="5"/>
  <c r="W5" i="5"/>
  <c r="X5" i="5"/>
  <c r="C5" i="5"/>
  <c r="C4" i="5"/>
  <c r="C7" i="5"/>
  <c r="D7" i="5" l="1"/>
  <c r="E7" i="5" l="1"/>
  <c r="F7" i="5" l="1"/>
  <c r="G7" i="5" l="1"/>
  <c r="H7" i="5" l="1"/>
  <c r="I7" i="5" l="1"/>
  <c r="J7" i="5" l="1"/>
  <c r="K7" i="5" l="1"/>
  <c r="L7" i="5" l="1"/>
  <c r="M7" i="5" l="1"/>
  <c r="N7" i="5" l="1"/>
  <c r="T7" i="5"/>
  <c r="S7" i="5"/>
  <c r="R7" i="5" l="1"/>
  <c r="Q7" i="5" l="1"/>
  <c r="P7" i="5" l="1"/>
  <c r="O7" i="5" l="1"/>
  <c r="B5" i="4" l="1"/>
  <c r="C5" i="4"/>
  <c r="F4" i="4" l="1"/>
  <c r="F3" i="4"/>
  <c r="B4" i="4"/>
  <c r="C4" i="1"/>
  <c r="B4" i="1"/>
  <c r="F3" i="1"/>
  <c r="F5" i="4" l="1"/>
  <c r="F5" i="1"/>
  <c r="F24" i="1"/>
  <c r="F4" i="1"/>
  <c r="F25" i="1" l="1"/>
  <c r="F6" i="1"/>
  <c r="F7" i="1" l="1"/>
  <c r="F26" i="1"/>
  <c r="F27" i="1" l="1"/>
  <c r="F8" i="1"/>
  <c r="F9" i="1" l="1"/>
  <c r="F28" i="1"/>
  <c r="F29" i="1" l="1"/>
  <c r="F10" i="1"/>
  <c r="F11" i="1" l="1"/>
  <c r="F30" i="1"/>
  <c r="F31" i="1" l="1"/>
  <c r="F12" i="1"/>
  <c r="F13" i="1" l="1"/>
  <c r="F32" i="1"/>
  <c r="F33" i="1" l="1"/>
  <c r="F14" i="1"/>
  <c r="F15" i="1" l="1"/>
  <c r="F34" i="1"/>
  <c r="F35" i="1" l="1"/>
  <c r="F16" i="1"/>
  <c r="F17" i="1" l="1"/>
  <c r="F36" i="1"/>
  <c r="F37" i="1" l="1"/>
  <c r="F18" i="1"/>
  <c r="F19" i="1" l="1"/>
  <c r="F38" i="1"/>
  <c r="F39" i="1" l="1"/>
  <c r="F20" i="1"/>
  <c r="F21" i="1" l="1"/>
  <c r="F40" i="1"/>
  <c r="F41" i="1" l="1"/>
  <c r="F22" i="1"/>
  <c r="F23" i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  <c r="F58" i="1" l="1"/>
  <c r="F59" i="1" l="1"/>
  <c r="F60" i="1" l="1"/>
</calcChain>
</file>

<file path=xl/sharedStrings.xml><?xml version="1.0" encoding="utf-8"?>
<sst xmlns="http://schemas.openxmlformats.org/spreadsheetml/2006/main" count="6156" uniqueCount="627">
  <si>
    <t>No.</t>
  </si>
  <si>
    <t>Pack</t>
  </si>
  <si>
    <t>Compound</t>
  </si>
  <si>
    <t>NOTE</t>
  </si>
  <si>
    <t>REMARKS</t>
  </si>
  <si>
    <t>Area</t>
  </si>
  <si>
    <t>TANGGAL EKSEKUSI</t>
  </si>
  <si>
    <t>User Area</t>
  </si>
  <si>
    <t xml:space="preserve">OK </t>
  </si>
  <si>
    <t>SCRAP</t>
  </si>
  <si>
    <t>(All)</t>
  </si>
  <si>
    <t>A103</t>
  </si>
  <si>
    <t>B337X</t>
  </si>
  <si>
    <t>FIFO</t>
  </si>
  <si>
    <t>MIXING</t>
  </si>
  <si>
    <t>Count of NOTE</t>
  </si>
  <si>
    <t>Column Labels</t>
  </si>
  <si>
    <t>Row Labels</t>
  </si>
  <si>
    <t>Count of Compound</t>
  </si>
  <si>
    <t>B103</t>
  </si>
  <si>
    <t>Grand Total</t>
  </si>
  <si>
    <t>S003R</t>
  </si>
  <si>
    <t>A105</t>
  </si>
  <si>
    <t>N1785</t>
  </si>
  <si>
    <t>CALCUT</t>
  </si>
  <si>
    <t>EXT</t>
  </si>
  <si>
    <t>(blank)</t>
  </si>
  <si>
    <t>AREA RACK DEPAN LAYDOWN</t>
  </si>
  <si>
    <t>B105</t>
  </si>
  <si>
    <t>S888R</t>
  </si>
  <si>
    <t>B1026</t>
  </si>
  <si>
    <t>B1578</t>
  </si>
  <si>
    <t>AREA WT RELEASE</t>
  </si>
  <si>
    <t>A106</t>
  </si>
  <si>
    <t>WSWR</t>
  </si>
  <si>
    <t>K941A</t>
  </si>
  <si>
    <t>B106</t>
  </si>
  <si>
    <t>N11F3</t>
  </si>
  <si>
    <t>K96H6</t>
  </si>
  <si>
    <t>K269A</t>
  </si>
  <si>
    <t>SAMPING LAYDOWN BB2</t>
  </si>
  <si>
    <t>C106</t>
  </si>
  <si>
    <t>F7894</t>
  </si>
  <si>
    <t>AREA RACK DEPAN LAYDOWN Total</t>
  </si>
  <si>
    <t>A108</t>
  </si>
  <si>
    <t>T1698</t>
  </si>
  <si>
    <t>NO ID</t>
  </si>
  <si>
    <t>B108</t>
  </si>
  <si>
    <t>S7851</t>
  </si>
  <si>
    <t>N11F3R</t>
  </si>
  <si>
    <t>C108</t>
  </si>
  <si>
    <t>OTR</t>
  </si>
  <si>
    <t>LUMPY</t>
  </si>
  <si>
    <t>T4427</t>
  </si>
  <si>
    <t>T4427R</t>
  </si>
  <si>
    <t>BE18</t>
  </si>
  <si>
    <t>PISAHIN</t>
  </si>
  <si>
    <t>S7852R</t>
  </si>
  <si>
    <t>T97F1</t>
  </si>
  <si>
    <t>BE17</t>
  </si>
  <si>
    <t>RESTACKING</t>
  </si>
  <si>
    <t>CAMPURAN</t>
  </si>
  <si>
    <t>BE16</t>
  </si>
  <si>
    <t>F1082</t>
  </si>
  <si>
    <t>CF18</t>
  </si>
  <si>
    <t>F740A</t>
  </si>
  <si>
    <t>CF17</t>
  </si>
  <si>
    <t>AREA WT RELEASE Total</t>
  </si>
  <si>
    <t>CF16</t>
  </si>
  <si>
    <t>G7204</t>
  </si>
  <si>
    <t>BF16</t>
  </si>
  <si>
    <t>K16V5</t>
  </si>
  <si>
    <t>BF17</t>
  </si>
  <si>
    <t>T16R5</t>
  </si>
  <si>
    <t>BF18</t>
  </si>
  <si>
    <t>K83T4</t>
  </si>
  <si>
    <t>AF16</t>
  </si>
  <si>
    <t>AF17</t>
  </si>
  <si>
    <t>AF18</t>
  </si>
  <si>
    <t>S6A93</t>
  </si>
  <si>
    <t>S777C</t>
  </si>
  <si>
    <t>BAGUS</t>
  </si>
  <si>
    <t>CF24</t>
  </si>
  <si>
    <t>LENGKET</t>
  </si>
  <si>
    <t>AE15</t>
  </si>
  <si>
    <t>S7351</t>
  </si>
  <si>
    <t>CE13</t>
  </si>
  <si>
    <t>FM</t>
  </si>
  <si>
    <t>BE13</t>
  </si>
  <si>
    <t>C118</t>
  </si>
  <si>
    <t>T167N</t>
  </si>
  <si>
    <t>B15</t>
  </si>
  <si>
    <t>N5843</t>
  </si>
  <si>
    <t>B12</t>
  </si>
  <si>
    <t>CE12</t>
  </si>
  <si>
    <t>FIFO Total</t>
  </si>
  <si>
    <t>CF3</t>
  </si>
  <si>
    <t>CE1</t>
  </si>
  <si>
    <t>FORMAT BENANG</t>
  </si>
  <si>
    <t>SAMPING LAYDOWN BB2 Total</t>
  </si>
  <si>
    <t>CE2</t>
  </si>
  <si>
    <t>LUMPY (OK)</t>
  </si>
  <si>
    <t>BE2</t>
  </si>
  <si>
    <t>BE3</t>
  </si>
  <si>
    <t>CF19</t>
  </si>
  <si>
    <t>SEBAGAI OS T16R5</t>
  </si>
  <si>
    <t>CF21</t>
  </si>
  <si>
    <t>CF28</t>
  </si>
  <si>
    <t>SELEKSI</t>
  </si>
  <si>
    <t>B85</t>
  </si>
  <si>
    <t>CONGKEL &amp; RESTACKING</t>
  </si>
  <si>
    <t>C85</t>
  </si>
  <si>
    <t>CONGKEL</t>
  </si>
  <si>
    <t>B86</t>
  </si>
  <si>
    <t>CONGKEL (OK)</t>
  </si>
  <si>
    <t>A91</t>
  </si>
  <si>
    <t>OK T16R5</t>
  </si>
  <si>
    <t>C91</t>
  </si>
  <si>
    <t>B91</t>
  </si>
  <si>
    <t>TIMBANG &amp; KEMBALIKAN KE ASALNYA</t>
  </si>
  <si>
    <t>CONGKEL &amp; PAKAI DI KITA</t>
  </si>
  <si>
    <t>B92</t>
  </si>
  <si>
    <t>B93</t>
  </si>
  <si>
    <t>C93</t>
  </si>
  <si>
    <t>C92</t>
  </si>
  <si>
    <t>B94</t>
  </si>
  <si>
    <t>C94</t>
  </si>
  <si>
    <t>B95</t>
  </si>
  <si>
    <t>CONGKEL &amp; PISAHIN</t>
  </si>
  <si>
    <t>C95</t>
  </si>
  <si>
    <t>C96</t>
  </si>
  <si>
    <t>CONGKEL &amp; RESTACKING (EXT)</t>
  </si>
  <si>
    <t>SEREGASI</t>
  </si>
  <si>
    <t>B119</t>
  </si>
  <si>
    <t>B120</t>
  </si>
  <si>
    <t>B118</t>
  </si>
  <si>
    <t>G (SCRAP)</t>
  </si>
  <si>
    <t>C120</t>
  </si>
  <si>
    <t>SCRAP (COBA GILING EXT)</t>
  </si>
  <si>
    <t>LUAR RAK</t>
  </si>
  <si>
    <t>C39</t>
  </si>
  <si>
    <t>C38</t>
  </si>
  <si>
    <t>ATAS PISAHIN (MASTERBATCH)</t>
  </si>
  <si>
    <t>C37</t>
  </si>
  <si>
    <t>B39</t>
  </si>
  <si>
    <t>SEGREASI PISAHIN (AREA RESTACK)</t>
  </si>
  <si>
    <t>A37</t>
  </si>
  <si>
    <t>A38</t>
  </si>
  <si>
    <t>B37</t>
  </si>
  <si>
    <t>A36</t>
  </si>
  <si>
    <t>A35</t>
  </si>
  <si>
    <t>A34</t>
  </si>
  <si>
    <t>C36</t>
  </si>
  <si>
    <t>PAKAI CLEANER</t>
  </si>
  <si>
    <t>B34</t>
  </si>
  <si>
    <t>C34</t>
  </si>
  <si>
    <t>B35</t>
  </si>
  <si>
    <t>C35</t>
  </si>
  <si>
    <t>B36</t>
  </si>
  <si>
    <t>C33</t>
  </si>
  <si>
    <t>B33</t>
  </si>
  <si>
    <t>C30</t>
  </si>
  <si>
    <t>OK (REMILL)</t>
  </si>
  <si>
    <t>B29</t>
  </si>
  <si>
    <t>C29</t>
  </si>
  <si>
    <t>A31</t>
  </si>
  <si>
    <t>A33</t>
  </si>
  <si>
    <t>B32</t>
  </si>
  <si>
    <t>LUMPY SCRAP</t>
  </si>
  <si>
    <t>A29</t>
  </si>
  <si>
    <t>POTONG-POTONG</t>
  </si>
  <si>
    <t>LANTAI</t>
  </si>
  <si>
    <t>DISPOSISI</t>
  </si>
  <si>
    <t>A28</t>
  </si>
  <si>
    <t>A26</t>
  </si>
  <si>
    <t>A27</t>
  </si>
  <si>
    <t>A25</t>
  </si>
  <si>
    <t>C27</t>
  </si>
  <si>
    <t>A24</t>
  </si>
  <si>
    <t>A23</t>
  </si>
  <si>
    <t>A22</t>
  </si>
  <si>
    <t>A21</t>
  </si>
  <si>
    <t xml:space="preserve">SEGREASI PISAHIN </t>
  </si>
  <si>
    <t>A20</t>
  </si>
  <si>
    <t>A18</t>
  </si>
  <si>
    <t>A17</t>
  </si>
  <si>
    <t>A16</t>
  </si>
  <si>
    <t>A14</t>
  </si>
  <si>
    <t>A15</t>
  </si>
  <si>
    <t>A13</t>
  </si>
  <si>
    <t>JADIIN OS</t>
  </si>
  <si>
    <t>A12</t>
  </si>
  <si>
    <t>A11</t>
  </si>
  <si>
    <t>REMILL</t>
  </si>
  <si>
    <t>A9</t>
  </si>
  <si>
    <t>A7</t>
  </si>
  <si>
    <t>A8</t>
  </si>
  <si>
    <t>C32</t>
  </si>
  <si>
    <t>C31</t>
  </si>
  <si>
    <t>B31</t>
  </si>
  <si>
    <t>C28</t>
  </si>
  <si>
    <t>SEBAGAI LAST NP 10 KG T16R5</t>
  </si>
  <si>
    <t>C26</t>
  </si>
  <si>
    <t>B25</t>
  </si>
  <si>
    <t>C25</t>
  </si>
  <si>
    <t>B27</t>
  </si>
  <si>
    <t>B24</t>
  </si>
  <si>
    <t>C24</t>
  </si>
  <si>
    <t>C23</t>
  </si>
  <si>
    <t>B22</t>
  </si>
  <si>
    <t>C22</t>
  </si>
  <si>
    <t>C21</t>
  </si>
  <si>
    <t>B21</t>
  </si>
  <si>
    <t>GILING DI EXT</t>
  </si>
  <si>
    <t>B20</t>
  </si>
  <si>
    <t>C20</t>
  </si>
  <si>
    <t>C19</t>
  </si>
  <si>
    <t>B18</t>
  </si>
  <si>
    <t>C18</t>
  </si>
  <si>
    <t>C17</t>
  </si>
  <si>
    <t>B17</t>
  </si>
  <si>
    <t>B16</t>
  </si>
  <si>
    <t>C15</t>
  </si>
  <si>
    <t>B13</t>
  </si>
  <si>
    <t>C14</t>
  </si>
  <si>
    <t>C13</t>
  </si>
  <si>
    <t>B14</t>
  </si>
  <si>
    <t>C12</t>
  </si>
  <si>
    <t>SEBAGAI NOLO LAST RUN S6R51</t>
  </si>
  <si>
    <t>C11</t>
  </si>
  <si>
    <t>C10</t>
  </si>
  <si>
    <t>B11</t>
  </si>
  <si>
    <t>B10</t>
  </si>
  <si>
    <t>RESTACKING F740A ODS</t>
  </si>
  <si>
    <t>B9</t>
  </si>
  <si>
    <t>OK PAKE</t>
  </si>
  <si>
    <t>B8</t>
  </si>
  <si>
    <t>C9</t>
  </si>
  <si>
    <t>C7</t>
  </si>
  <si>
    <t>B7</t>
  </si>
  <si>
    <t>OK CKEANER</t>
  </si>
  <si>
    <t>C128</t>
  </si>
  <si>
    <t>CLEANER BB2</t>
  </si>
  <si>
    <t>RAK MERAH</t>
  </si>
  <si>
    <t>x</t>
  </si>
  <si>
    <t>Date</t>
  </si>
  <si>
    <t>New Creation</t>
  </si>
  <si>
    <t>Disposision Use</t>
  </si>
  <si>
    <t>Scrap</t>
  </si>
  <si>
    <t>TOTAL</t>
  </si>
  <si>
    <t>Total pengurangan day by day</t>
  </si>
  <si>
    <t>#Skid</t>
  </si>
  <si>
    <t>KGS</t>
  </si>
  <si>
    <t>CLEANER</t>
  </si>
  <si>
    <t>REVIEW OK</t>
  </si>
  <si>
    <t>FINAL REVIEW</t>
  </si>
  <si>
    <t>UNDER REVIEW</t>
  </si>
  <si>
    <t>Cleaner Actual Scrap</t>
  </si>
  <si>
    <t>Unit</t>
  </si>
  <si>
    <t>Cleaner Requirements</t>
  </si>
  <si>
    <t>Kgs</t>
  </si>
  <si>
    <t>Usd</t>
  </si>
  <si>
    <t>Actual Scrap</t>
  </si>
  <si>
    <t>Sum of Count</t>
  </si>
  <si>
    <t>AREA</t>
  </si>
  <si>
    <t>Count</t>
  </si>
  <si>
    <t xml:space="preserve">MIXING </t>
  </si>
  <si>
    <t>NO. ID</t>
  </si>
  <si>
    <t>NO.ID</t>
  </si>
  <si>
    <t xml:space="preserve">FIFO </t>
  </si>
  <si>
    <t>n5843</t>
  </si>
  <si>
    <t>DEPAN LAYDOWN BB2</t>
  </si>
  <si>
    <t>25-06-2026</t>
  </si>
  <si>
    <t>K771H</t>
  </si>
  <si>
    <t>NO.</t>
  </si>
  <si>
    <t>No. Comp</t>
  </si>
  <si>
    <t>Rack</t>
  </si>
  <si>
    <t>BRUTO</t>
  </si>
  <si>
    <t>BERAT SKID</t>
  </si>
  <si>
    <t>NETTO</t>
  </si>
  <si>
    <t>AREA EKSEKUTOR</t>
  </si>
  <si>
    <t>OK</t>
  </si>
  <si>
    <t>4ROLL</t>
  </si>
  <si>
    <t>ODS</t>
  </si>
  <si>
    <t>gagal SCRAP</t>
  </si>
  <si>
    <t>GILING DI 4ROLL</t>
  </si>
  <si>
    <t>A1</t>
  </si>
  <si>
    <t>A10</t>
  </si>
  <si>
    <t>A104</t>
  </si>
  <si>
    <t>T1511</t>
  </si>
  <si>
    <t>A107</t>
  </si>
  <si>
    <t>B3</t>
  </si>
  <si>
    <t>N2784</t>
  </si>
  <si>
    <t>A19</t>
  </si>
  <si>
    <t>A2</t>
  </si>
  <si>
    <t>T1698R</t>
  </si>
  <si>
    <t>SEGREGASI</t>
  </si>
  <si>
    <t>??</t>
  </si>
  <si>
    <t>A50</t>
  </si>
  <si>
    <t>A3</t>
  </si>
  <si>
    <t>A30</t>
  </si>
  <si>
    <t>A32</t>
  </si>
  <si>
    <t>A4</t>
  </si>
  <si>
    <t>A52</t>
  </si>
  <si>
    <t>A5</t>
  </si>
  <si>
    <t>A53</t>
  </si>
  <si>
    <t>LUMPY PARAH</t>
  </si>
  <si>
    <t>B4</t>
  </si>
  <si>
    <t>A59</t>
  </si>
  <si>
    <t>A6</t>
  </si>
  <si>
    <t>A60</t>
  </si>
  <si>
    <t>A61</t>
  </si>
  <si>
    <t>A62</t>
  </si>
  <si>
    <t>B49</t>
  </si>
  <si>
    <t>B50</t>
  </si>
  <si>
    <t>A67</t>
  </si>
  <si>
    <t>S8183</t>
  </si>
  <si>
    <t>A68</t>
  </si>
  <si>
    <t>N1817</t>
  </si>
  <si>
    <t>DARI DPN TANL PROMOLIK</t>
  </si>
  <si>
    <t>B1</t>
  </si>
  <si>
    <t>B104</t>
  </si>
  <si>
    <t>B107</t>
  </si>
  <si>
    <t>OK, HABIS</t>
  </si>
  <si>
    <t>S7852</t>
  </si>
  <si>
    <t>B19</t>
  </si>
  <si>
    <t>MILL DI 4ROLL</t>
  </si>
  <si>
    <t>COBA GILING DI EXT</t>
  </si>
  <si>
    <t>B2</t>
  </si>
  <si>
    <t>B23</t>
  </si>
  <si>
    <t>B26</t>
  </si>
  <si>
    <t>B28</t>
  </si>
  <si>
    <t>buang</t>
  </si>
  <si>
    <t>B30</t>
  </si>
  <si>
    <t>B38</t>
  </si>
  <si>
    <t>scrap TC</t>
  </si>
  <si>
    <t>A51</t>
  </si>
  <si>
    <t>B5</t>
  </si>
  <si>
    <t>COBA BB3</t>
  </si>
  <si>
    <t>A55</t>
  </si>
  <si>
    <t>A56</t>
  </si>
  <si>
    <t>B52</t>
  </si>
  <si>
    <t>B53</t>
  </si>
  <si>
    <t>B55</t>
  </si>
  <si>
    <t>B56</t>
  </si>
  <si>
    <t>B58</t>
  </si>
  <si>
    <t>B59</t>
  </si>
  <si>
    <t>B6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</si>
  <si>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</si>
  <si>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</si>
  <si>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</si>
  <si>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</si>
  <si>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</si>
  <si>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</si>
  <si>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</si>
  <si>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</si>
  <si>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</si>
  <si>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OK BY EXT</t>
  </si>
  <si>
    <t>BB1</t>
  </si>
  <si>
    <t>BB2</t>
  </si>
  <si>
    <t>C1</t>
  </si>
  <si>
    <t>S8381</t>
  </si>
  <si>
    <t>C107</t>
  </si>
  <si>
    <t>C16</t>
  </si>
  <si>
    <t>N1785R</t>
  </si>
  <si>
    <t>C3</t>
  </si>
  <si>
    <t>S27T1</t>
  </si>
  <si>
    <t>C4</t>
  </si>
  <si>
    <t>A57</t>
  </si>
  <si>
    <t>C5</t>
  </si>
  <si>
    <t>B57</t>
  </si>
  <si>
    <t>C52</t>
  </si>
  <si>
    <t>C53</t>
  </si>
  <si>
    <t>C54</t>
  </si>
  <si>
    <t>C55</t>
  </si>
  <si>
    <t>C56</t>
  </si>
  <si>
    <t>C57</t>
  </si>
  <si>
    <t>ATAS PISAH BAWAH OK</t>
  </si>
  <si>
    <t>C6</t>
  </si>
  <si>
    <t>C60</t>
  </si>
  <si>
    <t>C61</t>
  </si>
  <si>
    <t>Sudah di scrap</t>
  </si>
  <si>
    <t>C62</t>
  </si>
  <si>
    <t>C63</t>
  </si>
  <si>
    <t>C64</t>
  </si>
  <si>
    <t>C65</t>
  </si>
  <si>
    <t>C66</t>
  </si>
  <si>
    <t>C67</t>
  </si>
  <si>
    <t>C68</t>
  </si>
  <si>
    <t>C8</t>
  </si>
  <si>
    <t xml:space="preserve">CONGKEL </t>
  </si>
  <si>
    <t>Habis</t>
  </si>
  <si>
    <t>OK Habis</t>
  </si>
  <si>
    <t>T7131</t>
  </si>
  <si>
    <t>REMARKS2</t>
  </si>
  <si>
    <t>(Multiple Items)</t>
  </si>
  <si>
    <t>Sum of NETTO</t>
  </si>
  <si>
    <t>Jumlah Skid</t>
  </si>
  <si>
    <t>AREA FIFO</t>
  </si>
  <si>
    <t>Non FIFO</t>
  </si>
  <si>
    <t>6700 Kgs</t>
  </si>
  <si>
    <t>Cleaner</t>
  </si>
  <si>
    <t>Non Cleaner</t>
  </si>
  <si>
    <t>Count of Rack</t>
  </si>
  <si>
    <t>SLOW MOVING TRACKING</t>
  </si>
  <si>
    <t>OK/Remill</t>
  </si>
  <si>
    <t xml:space="preserve">B337X </t>
  </si>
  <si>
    <t>S7892</t>
  </si>
  <si>
    <t>Tanggal Eksekusi</t>
  </si>
  <si>
    <t>Count of NO.</t>
  </si>
  <si>
    <t>8 EXT</t>
  </si>
  <si>
    <t>GILING EXT</t>
  </si>
  <si>
    <t>PAKAI EXT</t>
  </si>
  <si>
    <t>AREA DISPOSISI</t>
  </si>
  <si>
    <t>BB#1</t>
  </si>
  <si>
    <t>SEBAGAI CLEANER</t>
  </si>
  <si>
    <t>TIMBANGAN EXT</t>
  </si>
  <si>
    <t>SEGREAGASI</t>
  </si>
  <si>
    <t>FIFO JENDELA</t>
  </si>
  <si>
    <t xml:space="preserve"> </t>
  </si>
  <si>
    <t>RACK DIE SHOP</t>
  </si>
  <si>
    <t>RACK ATAS BELUM DISPOSISI</t>
  </si>
  <si>
    <t>No Tag Disposisi</t>
  </si>
  <si>
    <t>Mix Date</t>
  </si>
  <si>
    <t>Disposisi sebagai</t>
  </si>
  <si>
    <t>Tgl Restacking / Pickle out</t>
  </si>
  <si>
    <t>Tgl Disposisi</t>
  </si>
  <si>
    <t>Remarks</t>
  </si>
  <si>
    <t>Batch</t>
  </si>
  <si>
    <t>S7890</t>
  </si>
  <si>
    <t>AS S7890 saat running F7894, coba 1 batch dulu, kalau OK lanjutkan</t>
  </si>
  <si>
    <t>Cleaner N5843</t>
  </si>
  <si>
    <t>S7672</t>
  </si>
  <si>
    <t>Remill terpisah saat run S7672</t>
  </si>
  <si>
    <t>G5126</t>
  </si>
  <si>
    <t>GILING CALCUT</t>
  </si>
  <si>
    <t>NC AREA</t>
  </si>
  <si>
    <t>PAKAI UB</t>
  </si>
  <si>
    <t>SIAP PAKAI</t>
  </si>
  <si>
    <t>GILING EXT (to be scrap)</t>
  </si>
  <si>
    <t>PULANDIAN</t>
  </si>
  <si>
    <t>B1026R</t>
  </si>
  <si>
    <t>RESTACKING AREA</t>
  </si>
  <si>
    <t>BB#2</t>
  </si>
  <si>
    <t>REMILL + LEIBAX</t>
  </si>
  <si>
    <t>N2784R</t>
  </si>
  <si>
    <t>T16R5R</t>
  </si>
  <si>
    <t>BLEND FRESH COMPOUND</t>
  </si>
  <si>
    <t>K633R</t>
  </si>
  <si>
    <t>PAKAI DI CALCUT</t>
  </si>
  <si>
    <t>3 ROLL</t>
  </si>
  <si>
    <t>K844A</t>
  </si>
  <si>
    <t>F4111</t>
  </si>
  <si>
    <t>GILING EXT (SCRAP)</t>
  </si>
  <si>
    <t>F4057</t>
  </si>
  <si>
    <t>S71H1</t>
  </si>
  <si>
    <t>RUBBER CUTTER</t>
  </si>
  <si>
    <t>K269AR</t>
  </si>
  <si>
    <t>K96H6R</t>
  </si>
  <si>
    <t>T1373</t>
  </si>
  <si>
    <t>No</t>
  </si>
  <si>
    <t>Compound Code</t>
  </si>
  <si>
    <t>Status / Disposisi</t>
  </si>
  <si>
    <t>Batch inv</t>
  </si>
  <si>
    <t>Plan</t>
  </si>
  <si>
    <t>Blend 50% di 10" Extruder</t>
  </si>
  <si>
    <t>Pickle out and use</t>
  </si>
  <si>
    <t>Pickle out lumpy and use</t>
  </si>
  <si>
    <t>ODS 10 kg/bt sch 4 bt (40 kg)</t>
  </si>
  <si>
    <t>Segregasi lumpy</t>
  </si>
  <si>
    <t>F3146</t>
  </si>
  <si>
    <t>WA B1026 50% (sh2) 25 bt (225)</t>
  </si>
  <si>
    <t>WA B1026 50% (9kg/bt) sh1 25 bt (225)</t>
  </si>
  <si>
    <t>ODS 10 kg for B1026 (NS)</t>
  </si>
  <si>
    <t>Last NP 10 kg/bt sh2 30 bt (300 kg)</t>
  </si>
  <si>
    <t>F740A, 360kg, ODS 10kg/batch, 20 batch today schedule, reduce 180kg today</t>
  </si>
  <si>
    <t>F740A, 360kg, ODS 10kg/batch, 20 batch next day schedule, reduce 200kg today</t>
  </si>
  <si>
    <t>K16D4</t>
  </si>
  <si>
    <t>Blend 50% with OK</t>
  </si>
  <si>
    <t>ODS 10 kg for WA K269A (NS)</t>
  </si>
  <si>
    <t>Pakai di 4 roll</t>
  </si>
  <si>
    <t>Blend 50%</t>
  </si>
  <si>
    <t>200kg, 10 kg as ODS today sh2 22 batch</t>
  </si>
  <si>
    <t>Pakai di extruder</t>
  </si>
  <si>
    <t>K95M6</t>
  </si>
  <si>
    <t>NS</t>
  </si>
  <si>
    <t>1000 kg, 10kg/batch, tomorrow run 25 batch</t>
  </si>
  <si>
    <t>Langsung Pakai</t>
  </si>
  <si>
    <t>600kg, 15kg as workaway, 22 batch schedule sh3</t>
  </si>
  <si>
    <t>K26V1</t>
  </si>
  <si>
    <t>10 kgs to use in 16D4</t>
  </si>
  <si>
    <t>Remill</t>
  </si>
  <si>
    <t>Restacking dan pakai</t>
  </si>
  <si>
    <t>Trial milling 50% with WA WSW</t>
  </si>
  <si>
    <t>B1026 R</t>
  </si>
  <si>
    <t>Blend 50% untuk apex bias</t>
  </si>
  <si>
    <t>Q269A</t>
  </si>
  <si>
    <t>K16D4 R</t>
  </si>
  <si>
    <t>—</t>
  </si>
  <si>
    <t>360 kg, 10kg/batch</t>
  </si>
  <si>
    <t>K269A R</t>
  </si>
  <si>
    <t>Blend 50% with Fresh</t>
  </si>
  <si>
    <t>Pakai langsung</t>
  </si>
  <si>
    <t>K26V1 R</t>
  </si>
  <si>
    <t>K941A R</t>
  </si>
  <si>
    <t>Blend 50% shift 2 awal</t>
  </si>
  <si>
    <t>Will run on Thursday</t>
  </si>
  <si>
    <t>K96H6 R</t>
  </si>
  <si>
    <t>WA 20 kg/bt sh2 with 22 bt (440)</t>
  </si>
  <si>
    <t>K16V5 R</t>
  </si>
  <si>
    <t>Run tomorrow</t>
  </si>
  <si>
    <t>N11F3 R</t>
  </si>
  <si>
    <t>N1785 R</t>
  </si>
  <si>
    <t>T1373 R</t>
  </si>
  <si>
    <t>T1698 R</t>
  </si>
  <si>
    <t>T1125 R</t>
  </si>
  <si>
    <t>10 kgs to use, no schedule for today</t>
  </si>
  <si>
    <t>T4427 R</t>
  </si>
  <si>
    <t>N2784 R</t>
  </si>
  <si>
    <t>Run only L388 (120 pcs)</t>
  </si>
  <si>
    <t>WA 20 kg/bt sh2 22 bt (440)</t>
  </si>
  <si>
    <t>S6A91</t>
  </si>
  <si>
    <t>S1F31</t>
  </si>
  <si>
    <t>T16R5 R</t>
  </si>
  <si>
    <t>Used for WA F7894 10kg/batch</t>
  </si>
  <si>
    <t>Note</t>
  </si>
  <si>
    <t>Defect</t>
  </si>
  <si>
    <t>Disposisikan Sebagai</t>
  </si>
  <si>
    <t>Tgl Restack/Pickle Out</t>
  </si>
  <si>
    <t>Tgl Eksekusi</t>
  </si>
  <si>
    <t>-</t>
  </si>
  <si>
    <t>Pakai di EXT (Congkel)</t>
  </si>
  <si>
    <t>Pakai di BB (Congkel)</t>
  </si>
  <si>
    <t>Sbg S6R52 max 10 kg/lot</t>
  </si>
  <si>
    <t>Pakai di EXT</t>
  </si>
  <si>
    <t>Sbg S6R52 max 10 kg/bt</t>
  </si>
  <si>
    <t>Progress menuju habis</t>
  </si>
  <si>
    <t>Giling di EXT</t>
  </si>
  <si>
    <t>Lumpy gagal</t>
  </si>
  <si>
    <t>29-06-26</t>
  </si>
  <si>
    <t>Lumpy</t>
  </si>
  <si>
    <t>Habis → T919</t>
  </si>
  <si>
    <t>Habis → E930</t>
  </si>
  <si>
    <t>30-06-26</t>
  </si>
  <si>
    <t>Habis → T908</t>
  </si>
  <si>
    <t>All Habis</t>
  </si>
  <si>
    <t>Sbg S6R52 10 kg/bt</t>
  </si>
  <si>
    <t>A20 Habis</t>
  </si>
  <si>
    <t>A/B2U</t>
  </si>
  <si>
    <t>B1578R</t>
  </si>
  <si>
    <t>21-06-26</t>
  </si>
  <si>
    <t>Pakai di 4 Roll</t>
  </si>
  <si>
    <t>A20 - Habis</t>
  </si>
  <si>
    <t>27-06-25</t>
  </si>
  <si>
    <t>Sticky</t>
  </si>
  <si>
    <t>Potong (butuh 5-7 OK)</t>
  </si>
  <si>
    <t>Congkel</t>
  </si>
  <si>
    <t>17225 (New)</t>
  </si>
  <si>
    <t>EXT Hidr (?)</t>
  </si>
  <si>
    <t>Giling di Extruder</t>
  </si>
  <si>
    <t>Restacking</t>
  </si>
  <si>
    <t>X</t>
  </si>
  <si>
    <t>Lumpy Scrap</t>
  </si>
  <si>
    <t>Giling di 4 Roll</t>
  </si>
  <si>
    <t>SM240</t>
  </si>
  <si>
    <t>SM173</t>
  </si>
  <si>
    <t>Pickle Out, Pakai di EXT</t>
  </si>
  <si>
    <t>Karadak</t>
  </si>
  <si>
    <t>Giling &amp; Pakai EXT</t>
  </si>
  <si>
    <t>26/06/26</t>
  </si>
  <si>
    <t>Pakai di UB</t>
  </si>
  <si>
    <t>Restacking (OK) → Pakai EXT</t>
  </si>
  <si>
    <t>Dibawa ke EXT</t>
  </si>
  <si>
    <t>Di area mixing</t>
  </si>
  <si>
    <t>Dibawa Calc</t>
  </si>
  <si>
    <t>Pakai tread</t>
  </si>
  <si>
    <t>Dibawa ke Ext</t>
  </si>
  <si>
    <t>Done</t>
  </si>
  <si>
    <t>3 Roll</t>
  </si>
  <si>
    <t>Giling Pakai Di extruder</t>
  </si>
  <si>
    <t>K941AR</t>
  </si>
  <si>
    <t>sbg cleaner</t>
  </si>
  <si>
    <t>Untuk BS</t>
  </si>
  <si>
    <t>GILING DI EXTRUDER</t>
  </si>
  <si>
    <t>OLD</t>
  </si>
  <si>
    <t>DRY</t>
  </si>
  <si>
    <t>BIAS SQUEEGEE</t>
  </si>
  <si>
    <t>21 jul s3</t>
  </si>
  <si>
    <t>Poorslit</t>
  </si>
  <si>
    <t>K771HR</t>
  </si>
  <si>
    <t>OFF TEST</t>
  </si>
  <si>
    <t>Segregasi</t>
  </si>
  <si>
    <t>FORMAT BESI</t>
  </si>
  <si>
    <t>T1373R</t>
  </si>
  <si>
    <t>F2471</t>
  </si>
  <si>
    <t>Squeegee Bias</t>
  </si>
  <si>
    <t>Slitter/bantu masukkan manual</t>
  </si>
  <si>
    <t>S8571</t>
  </si>
  <si>
    <t xml:space="preserve">N1785 </t>
  </si>
  <si>
    <t>Disposisi</t>
  </si>
  <si>
    <t>Extr</t>
  </si>
  <si>
    <t>Cal</t>
  </si>
  <si>
    <t>Mix</t>
  </si>
  <si>
    <t>Total</t>
  </si>
  <si>
    <t>NEW</t>
  </si>
  <si>
    <t>NC Area</t>
  </si>
  <si>
    <t>PAKAI 3 ROLL</t>
  </si>
  <si>
    <t xml:space="preserve">PAKAI EXT BD DI MILL </t>
  </si>
  <si>
    <t>Timbangan</t>
  </si>
  <si>
    <t>AS S7890 saat running F7894</t>
  </si>
  <si>
    <t>PAKAI CALCUT</t>
  </si>
  <si>
    <t>GILING CAL</t>
  </si>
  <si>
    <t>On Process</t>
  </si>
  <si>
    <t>Ready</t>
  </si>
  <si>
    <t>New</t>
  </si>
  <si>
    <t>KATEGORI</t>
  </si>
  <si>
    <t>SKID</t>
  </si>
  <si>
    <t>waktu yang di butuhkan/skid/hari  (Hours)</t>
  </si>
  <si>
    <t xml:space="preserve">OLD SM </t>
  </si>
  <si>
    <t>3 jam/skid</t>
  </si>
  <si>
    <t>NEW CREATION</t>
  </si>
  <si>
    <t>1.5 jam/skid</t>
  </si>
  <si>
    <t xml:space="preserve">SM FIFO - Under review </t>
  </si>
  <si>
    <t xml:space="preserve">FINAL REVIEW </t>
  </si>
  <si>
    <t>Execution</t>
  </si>
  <si>
    <t>SM FIFO - UNDER REVIEW</t>
  </si>
  <si>
    <t>NON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</si>
</sst>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pivotButton="1"/>
    <xf numFmtId="1" fontId="0" fillId="0" borderId="1" xfId="0" applyNumberFormat="1" applyBorder="1"/>
    <xf numFmtId="164" fontId="2" fillId="0" borderId="1" xfId="0" applyNumberFormat="1" applyFont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/>
    <xf numFmtId="15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165" fontId="0" fillId="4" borderId="1" xfId="0" applyNumberFormat="1" applyFill="1" applyBorder="1"/>
    <xf numFmtId="0" fontId="2" fillId="7" borderId="0" xfId="0" applyFont="1" applyFill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3" fillId="0" borderId="1" xfId="0" applyFont="1" applyBorder="1"/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10" borderId="5" xfId="0" applyFont="1" applyFill="1" applyBorder="1"/>
    <xf numFmtId="0" fontId="2" fillId="10" borderId="5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2" borderId="0" xfId="0" applyFill="1"/>
    <xf numFmtId="0" fontId="2" fillId="0" borderId="1" xfId="0" applyFont="1" applyBorder="1"/>
    <xf numFmtId="15" fontId="0" fillId="0" borderId="2" xfId="0" applyNumberForma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0" fillId="2" borderId="0" xfId="0" applyNumberFormat="1" applyFill="1"/>
    <xf numFmtId="17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2" fontId="0" fillId="0" borderId="0" xfId="0" applyNumberFormat="1"/>
    <xf numFmtId="14" fontId="0" fillId="6" borderId="0" xfId="0" applyNumberFormat="1" applyFill="1"/>
    <xf numFmtId="0" fontId="0" fillId="6" borderId="0" xfId="0" applyFill="1"/>
    <xf numFmtId="0" fontId="2" fillId="10" borderId="13" xfId="0" applyFont="1" applyFill="1" applyBorder="1"/>
    <xf numFmtId="0" fontId="2" fillId="0" borderId="14" xfId="0" applyFont="1" applyBorder="1"/>
    <xf numFmtId="0" fontId="2" fillId="0" borderId="10" xfId="0" applyFont="1" applyBorder="1"/>
    <xf numFmtId="0" fontId="2" fillId="0" borderId="15" xfId="0" applyFont="1" applyBorder="1"/>
    <xf numFmtId="0" fontId="2" fillId="0" borderId="12" xfId="0" applyFont="1" applyBorder="1"/>
    <xf numFmtId="0" fontId="2" fillId="0" borderId="16" xfId="0" applyFont="1" applyBorder="1"/>
    <xf numFmtId="0" fontId="2" fillId="0" borderId="17" xfId="0" applyFont="1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11" xfId="0" applyBorder="1"/>
    <xf numFmtId="0" fontId="0" fillId="0" borderId="19" xfId="0" applyBorder="1"/>
    <xf numFmtId="0" fontId="0" fillId="0" borderId="18" xfId="0" applyBorder="1"/>
    <xf numFmtId="0" fontId="0" fillId="11" borderId="1" xfId="0" applyFill="1" applyBorder="1"/>
    <xf numFmtId="0" fontId="2" fillId="11" borderId="1" xfId="0" applyFont="1" applyFill="1" applyBorder="1"/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/>
    <xf numFmtId="0" fontId="2" fillId="0" borderId="20" xfId="0" applyFont="1" applyBorder="1"/>
    <xf numFmtId="15" fontId="0" fillId="0" borderId="21" xfId="0" applyNumberFormat="1" applyBorder="1"/>
    <xf numFmtId="0" fontId="2" fillId="0" borderId="22" xfId="0" applyFont="1" applyBorder="1"/>
    <xf numFmtId="0" fontId="0" fillId="0" borderId="21" xfId="0" applyBorder="1"/>
    <xf numFmtId="0" fontId="2" fillId="0" borderId="23" xfId="0" applyFont="1" applyBorder="1"/>
    <xf numFmtId="15" fontId="0" fillId="0" borderId="4" xfId="0" applyNumberFormat="1" applyBorder="1"/>
    <xf numFmtId="0" fontId="0" fillId="0" borderId="4" xfId="0" applyBorder="1"/>
    <xf numFmtId="0" fontId="0" fillId="0" borderId="24" xfId="0" applyBorder="1"/>
    <xf numFmtId="15" fontId="2" fillId="0" borderId="18" xfId="0" applyNumberFormat="1" applyFont="1" applyBorder="1" applyAlignment="1">
      <alignment horizontal="center"/>
    </xf>
    <xf numFmtId="15" fontId="2" fillId="0" borderId="9" xfId="0" applyNumberFormat="1" applyFont="1" applyBorder="1" applyAlignment="1">
      <alignment horizontal="center"/>
    </xf>
    <xf numFmtId="15" fontId="2" fillId="0" borderId="10" xfId="0" applyNumberFormat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5" fontId="2" fillId="0" borderId="14" xfId="0" applyNumberFormat="1" applyFont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5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5" fontId="2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04568940101097E-2"/>
          <c:y val="0.12567049638247041"/>
          <c:w val="0.88599231724512795"/>
          <c:h val="0.6682783289027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Creation'!$B$2</c:f>
              <c:strCache>
                <c:ptCount val="1"/>
                <c:pt idx="0">
                  <c:v>New Creation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Creation'!$A$1:$A$63</c:f>
              <c:strCache>
                <c:ptCount val="55"/>
                <c:pt idx="1">
                  <c:v>Date</c:v>
                </c:pt>
                <c:pt idx="2">
                  <c:v>7/1/2026</c:v>
                </c:pt>
                <c:pt idx="3">
                  <c:v>7/2/2026</c:v>
                </c:pt>
                <c:pt idx="4">
                  <c:v>7/3/2026</c:v>
                </c:pt>
                <c:pt idx="5">
                  <c:v>7/4/2026</c:v>
                </c:pt>
                <c:pt idx="6">
                  <c:v>7/6/2026</c:v>
                </c:pt>
                <c:pt idx="7">
                  <c:v>7/7/2026</c:v>
                </c:pt>
                <c:pt idx="8">
                  <c:v>7/8/2026</c:v>
                </c:pt>
                <c:pt idx="9">
                  <c:v>7/9/2026</c:v>
                </c:pt>
                <c:pt idx="10">
                  <c:v>7/10/2026</c:v>
                </c:pt>
                <c:pt idx="11">
                  <c:v>7/11/2026</c:v>
                </c:pt>
                <c:pt idx="12">
                  <c:v>7/13/2026</c:v>
                </c:pt>
                <c:pt idx="13">
                  <c:v>7/14/2026</c:v>
                </c:pt>
                <c:pt idx="14">
                  <c:v>7/15/2026</c:v>
                </c:pt>
                <c:pt idx="15">
                  <c:v>7/16/2026</c:v>
                </c:pt>
                <c:pt idx="16">
                  <c:v>7/17/2026</c:v>
                </c:pt>
                <c:pt idx="17">
                  <c:v>7/18/2026</c:v>
                </c:pt>
                <c:pt idx="18">
                  <c:v>7/20/2026</c:v>
                </c:pt>
                <c:pt idx="19">
                  <c:v>7/21/2026</c:v>
                </c:pt>
                <c:pt idx="20">
                  <c:v>7/22/2026</c:v>
                </c:pt>
                <c:pt idx="21">
                  <c:v>7/23/2026</c:v>
                </c:pt>
                <c:pt idx="22">
                  <c:v>7/24/2026</c:v>
                </c:pt>
                <c:pt idx="23">
                  <c:v>7/25/2026</c:v>
                </c:pt>
                <c:pt idx="24">
                  <c:v>7/27/2026</c:v>
                </c:pt>
                <c:pt idx="25">
                  <c:v>7/28/2026</c:v>
                </c:pt>
                <c:pt idx="26">
                  <c:v>7/29/2026</c:v>
                </c:pt>
                <c:pt idx="27">
                  <c:v>7/30/2026</c:v>
                </c:pt>
                <c:pt idx="28">
                  <c:v>7/31/2026</c:v>
                </c:pt>
                <c:pt idx="29">
                  <c:v>8/1/2026</c:v>
                </c:pt>
                <c:pt idx="30">
                  <c:v>8/3/2026</c:v>
                </c:pt>
                <c:pt idx="31">
                  <c:v>8/4/2026</c:v>
                </c:pt>
                <c:pt idx="32">
                  <c:v>8/5/2026</c:v>
                </c:pt>
                <c:pt idx="33">
                  <c:v>8/6/2026</c:v>
                </c:pt>
                <c:pt idx="34">
                  <c:v>8/7/2026</c:v>
                </c:pt>
                <c:pt idx="35">
                  <c:v>8/8/2026</c:v>
                </c:pt>
                <c:pt idx="36">
                  <c:v>8/10/2026</c:v>
                </c:pt>
                <c:pt idx="37">
                  <c:v>8/11/2026</c:v>
                </c:pt>
                <c:pt idx="38">
                  <c:v>8/12/2026</c:v>
                </c:pt>
                <c:pt idx="39">
                  <c:v>8/13/2026</c:v>
                </c:pt>
                <c:pt idx="40">
                  <c:v>8/14/2026</c:v>
                </c:pt>
                <c:pt idx="41">
                  <c:v>8/15/2026</c:v>
                </c:pt>
                <c:pt idx="42">
                  <c:v>8/17/2026</c:v>
                </c:pt>
                <c:pt idx="43">
                  <c:v>8/18/2026</c:v>
                </c:pt>
                <c:pt idx="44">
                  <c:v>8/19/2026</c:v>
                </c:pt>
                <c:pt idx="45">
                  <c:v>8/20/2026</c:v>
                </c:pt>
                <c:pt idx="46">
                  <c:v>8/21/2026</c:v>
                </c:pt>
                <c:pt idx="47">
                  <c:v>8/22/2026</c:v>
                </c:pt>
                <c:pt idx="48">
                  <c:v>8/24/2026</c:v>
                </c:pt>
                <c:pt idx="49">
                  <c:v>8/25/2026</c:v>
                </c:pt>
                <c:pt idx="50">
                  <c:v>8/26/2026</c:v>
                </c:pt>
                <c:pt idx="51">
                  <c:v>8/27/2026</c:v>
                </c:pt>
                <c:pt idx="52">
                  <c:v>8/28/2026</c:v>
                </c:pt>
                <c:pt idx="53">
                  <c:v>8/29/2026</c:v>
                </c:pt>
                <c:pt idx="54">
                  <c:v>8/31/2026</c:v>
                </c:pt>
              </c:strCache>
            </c:strRef>
          </c:cat>
          <c:val>
            <c:numRef>
              <c:f>'New Creation'!$B$3:$B$63</c:f>
              <c:numCache>
                <c:formatCode>General</c:formatCode>
                <c:ptCount val="5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2-4759-A1A2-D5DF91797CF1}"/>
            </c:ext>
          </c:extLst>
        </c:ser>
        <c:ser>
          <c:idx val="1"/>
          <c:order val="1"/>
          <c:tx>
            <c:strRef>
              <c:f>'New Creation'!$C$2:$H$2</c:f>
              <c:strCache>
                <c:ptCount val="1"/>
                <c:pt idx="0">
                  <c:v>Disposision Use Scrap TOTAL Total pengurangan day by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Creation'!$A$1:$A$63</c:f>
              <c:strCache>
                <c:ptCount val="55"/>
                <c:pt idx="1">
                  <c:v>Date</c:v>
                </c:pt>
                <c:pt idx="2">
                  <c:v>7/1/2026</c:v>
                </c:pt>
                <c:pt idx="3">
                  <c:v>7/2/2026</c:v>
                </c:pt>
                <c:pt idx="4">
                  <c:v>7/3/2026</c:v>
                </c:pt>
                <c:pt idx="5">
                  <c:v>7/4/2026</c:v>
                </c:pt>
                <c:pt idx="6">
                  <c:v>7/6/2026</c:v>
                </c:pt>
                <c:pt idx="7">
                  <c:v>7/7/2026</c:v>
                </c:pt>
                <c:pt idx="8">
                  <c:v>7/8/2026</c:v>
                </c:pt>
                <c:pt idx="9">
                  <c:v>7/9/2026</c:v>
                </c:pt>
                <c:pt idx="10">
                  <c:v>7/10/2026</c:v>
                </c:pt>
                <c:pt idx="11">
                  <c:v>7/11/2026</c:v>
                </c:pt>
                <c:pt idx="12">
                  <c:v>7/13/2026</c:v>
                </c:pt>
                <c:pt idx="13">
                  <c:v>7/14/2026</c:v>
                </c:pt>
                <c:pt idx="14">
                  <c:v>7/15/2026</c:v>
                </c:pt>
                <c:pt idx="15">
                  <c:v>7/16/2026</c:v>
                </c:pt>
                <c:pt idx="16">
                  <c:v>7/17/2026</c:v>
                </c:pt>
                <c:pt idx="17">
                  <c:v>7/18/2026</c:v>
                </c:pt>
                <c:pt idx="18">
                  <c:v>7/20/2026</c:v>
                </c:pt>
                <c:pt idx="19">
                  <c:v>7/21/2026</c:v>
                </c:pt>
                <c:pt idx="20">
                  <c:v>7/22/2026</c:v>
                </c:pt>
                <c:pt idx="21">
                  <c:v>7/23/2026</c:v>
                </c:pt>
                <c:pt idx="22">
                  <c:v>7/24/2026</c:v>
                </c:pt>
                <c:pt idx="23">
                  <c:v>7/25/2026</c:v>
                </c:pt>
                <c:pt idx="24">
                  <c:v>7/27/2026</c:v>
                </c:pt>
                <c:pt idx="25">
                  <c:v>7/28/2026</c:v>
                </c:pt>
                <c:pt idx="26">
                  <c:v>7/29/2026</c:v>
                </c:pt>
                <c:pt idx="27">
                  <c:v>7/30/2026</c:v>
                </c:pt>
                <c:pt idx="28">
                  <c:v>7/31/2026</c:v>
                </c:pt>
                <c:pt idx="29">
                  <c:v>8/1/2026</c:v>
                </c:pt>
                <c:pt idx="30">
                  <c:v>8/3/2026</c:v>
                </c:pt>
                <c:pt idx="31">
                  <c:v>8/4/2026</c:v>
                </c:pt>
                <c:pt idx="32">
                  <c:v>8/5/2026</c:v>
                </c:pt>
                <c:pt idx="33">
                  <c:v>8/6/2026</c:v>
                </c:pt>
                <c:pt idx="34">
                  <c:v>8/7/2026</c:v>
                </c:pt>
                <c:pt idx="35">
                  <c:v>8/8/2026</c:v>
                </c:pt>
                <c:pt idx="36">
                  <c:v>8/10/2026</c:v>
                </c:pt>
                <c:pt idx="37">
                  <c:v>8/11/2026</c:v>
                </c:pt>
                <c:pt idx="38">
                  <c:v>8/12/2026</c:v>
                </c:pt>
                <c:pt idx="39">
                  <c:v>8/13/2026</c:v>
                </c:pt>
                <c:pt idx="40">
                  <c:v>8/14/2026</c:v>
                </c:pt>
                <c:pt idx="41">
                  <c:v>8/15/2026</c:v>
                </c:pt>
                <c:pt idx="42">
                  <c:v>8/17/2026</c:v>
                </c:pt>
                <c:pt idx="43">
                  <c:v>8/18/2026</c:v>
                </c:pt>
                <c:pt idx="44">
                  <c:v>8/19/2026</c:v>
                </c:pt>
                <c:pt idx="45">
                  <c:v>8/20/2026</c:v>
                </c:pt>
                <c:pt idx="46">
                  <c:v>8/21/2026</c:v>
                </c:pt>
                <c:pt idx="47">
                  <c:v>8/22/2026</c:v>
                </c:pt>
                <c:pt idx="48">
                  <c:v>8/24/2026</c:v>
                </c:pt>
                <c:pt idx="49">
                  <c:v>8/25/2026</c:v>
                </c:pt>
                <c:pt idx="50">
                  <c:v>8/26/2026</c:v>
                </c:pt>
                <c:pt idx="51">
                  <c:v>8/27/2026</c:v>
                </c:pt>
                <c:pt idx="52">
                  <c:v>8/28/2026</c:v>
                </c:pt>
                <c:pt idx="53">
                  <c:v>8/29/2026</c:v>
                </c:pt>
                <c:pt idx="54">
                  <c:v>8/31/2026</c:v>
                </c:pt>
              </c:strCache>
            </c:strRef>
          </c:cat>
          <c:val>
            <c:numRef>
              <c:f>'New Creation'!$C$11:$C$63</c:f>
              <c:numCache>
                <c:formatCode>General</c:formatCode>
                <c:ptCount val="5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2-4759-A1A2-D5DF91797CF1}"/>
            </c:ext>
          </c:extLst>
        </c:ser>
        <c:ser>
          <c:idx val="2"/>
          <c:order val="2"/>
          <c:tx>
            <c:strRef>
              <c:f>'New Creation'!$D$2</c:f>
              <c:strCache>
                <c:ptCount val="1"/>
                <c:pt idx="0">
                  <c:v>Scrap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Creation'!$A$1:$A$63</c:f>
              <c:strCache>
                <c:ptCount val="55"/>
                <c:pt idx="1">
                  <c:v>Date</c:v>
                </c:pt>
                <c:pt idx="2">
                  <c:v>7/1/2026</c:v>
                </c:pt>
                <c:pt idx="3">
                  <c:v>7/2/2026</c:v>
                </c:pt>
                <c:pt idx="4">
                  <c:v>7/3/2026</c:v>
                </c:pt>
                <c:pt idx="5">
                  <c:v>7/4/2026</c:v>
                </c:pt>
                <c:pt idx="6">
                  <c:v>7/6/2026</c:v>
                </c:pt>
                <c:pt idx="7">
                  <c:v>7/7/2026</c:v>
                </c:pt>
                <c:pt idx="8">
                  <c:v>7/8/2026</c:v>
                </c:pt>
                <c:pt idx="9">
                  <c:v>7/9/2026</c:v>
                </c:pt>
                <c:pt idx="10">
                  <c:v>7/10/2026</c:v>
                </c:pt>
                <c:pt idx="11">
                  <c:v>7/11/2026</c:v>
                </c:pt>
                <c:pt idx="12">
                  <c:v>7/13/2026</c:v>
                </c:pt>
                <c:pt idx="13">
                  <c:v>7/14/2026</c:v>
                </c:pt>
                <c:pt idx="14">
                  <c:v>7/15/2026</c:v>
                </c:pt>
                <c:pt idx="15">
                  <c:v>7/16/2026</c:v>
                </c:pt>
                <c:pt idx="16">
                  <c:v>7/17/2026</c:v>
                </c:pt>
                <c:pt idx="17">
                  <c:v>7/18/2026</c:v>
                </c:pt>
                <c:pt idx="18">
                  <c:v>7/20/2026</c:v>
                </c:pt>
                <c:pt idx="19">
                  <c:v>7/21/2026</c:v>
                </c:pt>
                <c:pt idx="20">
                  <c:v>7/22/2026</c:v>
                </c:pt>
                <c:pt idx="21">
                  <c:v>7/23/2026</c:v>
                </c:pt>
                <c:pt idx="22">
                  <c:v>7/24/2026</c:v>
                </c:pt>
                <c:pt idx="23">
                  <c:v>7/25/2026</c:v>
                </c:pt>
                <c:pt idx="24">
                  <c:v>7/27/2026</c:v>
                </c:pt>
                <c:pt idx="25">
                  <c:v>7/28/2026</c:v>
                </c:pt>
                <c:pt idx="26">
                  <c:v>7/29/2026</c:v>
                </c:pt>
                <c:pt idx="27">
                  <c:v>7/30/2026</c:v>
                </c:pt>
                <c:pt idx="28">
                  <c:v>7/31/2026</c:v>
                </c:pt>
                <c:pt idx="29">
                  <c:v>8/1/2026</c:v>
                </c:pt>
                <c:pt idx="30">
                  <c:v>8/3/2026</c:v>
                </c:pt>
                <c:pt idx="31">
                  <c:v>8/4/2026</c:v>
                </c:pt>
                <c:pt idx="32">
                  <c:v>8/5/2026</c:v>
                </c:pt>
                <c:pt idx="33">
                  <c:v>8/6/2026</c:v>
                </c:pt>
                <c:pt idx="34">
                  <c:v>8/7/2026</c:v>
                </c:pt>
                <c:pt idx="35">
                  <c:v>8/8/2026</c:v>
                </c:pt>
                <c:pt idx="36">
                  <c:v>8/10/2026</c:v>
                </c:pt>
                <c:pt idx="37">
                  <c:v>8/11/2026</c:v>
                </c:pt>
                <c:pt idx="38">
                  <c:v>8/12/2026</c:v>
                </c:pt>
                <c:pt idx="39">
                  <c:v>8/13/2026</c:v>
                </c:pt>
                <c:pt idx="40">
                  <c:v>8/14/2026</c:v>
                </c:pt>
                <c:pt idx="41">
                  <c:v>8/15/2026</c:v>
                </c:pt>
                <c:pt idx="42">
                  <c:v>8/17/2026</c:v>
                </c:pt>
                <c:pt idx="43">
                  <c:v>8/18/2026</c:v>
                </c:pt>
                <c:pt idx="44">
                  <c:v>8/19/2026</c:v>
                </c:pt>
                <c:pt idx="45">
                  <c:v>8/20/2026</c:v>
                </c:pt>
                <c:pt idx="46">
                  <c:v>8/21/2026</c:v>
                </c:pt>
                <c:pt idx="47">
                  <c:v>8/22/2026</c:v>
                </c:pt>
                <c:pt idx="48">
                  <c:v>8/24/2026</c:v>
                </c:pt>
                <c:pt idx="49">
                  <c:v>8/25/2026</c:v>
                </c:pt>
                <c:pt idx="50">
                  <c:v>8/26/2026</c:v>
                </c:pt>
                <c:pt idx="51">
                  <c:v>8/27/2026</c:v>
                </c:pt>
                <c:pt idx="52">
                  <c:v>8/28/2026</c:v>
                </c:pt>
                <c:pt idx="53">
                  <c:v>8/29/2026</c:v>
                </c:pt>
                <c:pt idx="54">
                  <c:v>8/31/2026</c:v>
                </c:pt>
              </c:strCache>
            </c:strRef>
          </c:cat>
          <c:val>
            <c:numRef>
              <c:f>'New Creation'!$D$3:$D$63</c:f>
              <c:numCache>
                <c:formatCode>General</c:formatCode>
                <c:ptCount val="5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2-4759-A1A2-D5DF9179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225567"/>
        <c:axId val="1278224127"/>
      </c:barChart>
      <c:lineChart>
        <c:grouping val="standard"/>
        <c:varyColors val="0"/>
        <c:ser>
          <c:idx val="3"/>
          <c:order val="3"/>
          <c:tx>
            <c:strRef>
              <c:f>'New Creation'!$E$2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'New Creation'!$A$3:$A$92</c:f>
              <c:numCache>
                <c:formatCode>m/d/yyyy</c:formatCode>
                <c:ptCount val="8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46242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46249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46256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46263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46272</c:v>
                </c:pt>
                <c:pt idx="59">
                  <c:v>46273</c:v>
                </c:pt>
                <c:pt idx="60">
                  <c:v>46274</c:v>
                </c:pt>
                <c:pt idx="61">
                  <c:v>46275</c:v>
                </c:pt>
                <c:pt idx="62">
                  <c:v>46276</c:v>
                </c:pt>
                <c:pt idx="63">
                  <c:v>46277</c:v>
                </c:pt>
                <c:pt idx="64">
                  <c:v>46279</c:v>
                </c:pt>
                <c:pt idx="65">
                  <c:v>46280</c:v>
                </c:pt>
                <c:pt idx="66">
                  <c:v>46281</c:v>
                </c:pt>
                <c:pt idx="67">
                  <c:v>46282</c:v>
                </c:pt>
                <c:pt idx="68">
                  <c:v>46283</c:v>
                </c:pt>
                <c:pt idx="69">
                  <c:v>46284</c:v>
                </c:pt>
                <c:pt idx="70">
                  <c:v>46286</c:v>
                </c:pt>
                <c:pt idx="71">
                  <c:v>46287</c:v>
                </c:pt>
                <c:pt idx="72">
                  <c:v>46288</c:v>
                </c:pt>
                <c:pt idx="73">
                  <c:v>46289</c:v>
                </c:pt>
                <c:pt idx="74">
                  <c:v>46290</c:v>
                </c:pt>
                <c:pt idx="75">
                  <c:v>46291</c:v>
                </c:pt>
                <c:pt idx="76">
                  <c:v>46293</c:v>
                </c:pt>
                <c:pt idx="77">
                  <c:v>46294</c:v>
                </c:pt>
                <c:pt idx="78">
                  <c:v>46295</c:v>
                </c:pt>
                <c:pt idx="79">
                  <c:v>46296</c:v>
                </c:pt>
                <c:pt idx="80">
                  <c:v>46297</c:v>
                </c:pt>
                <c:pt idx="81">
                  <c:v>46298</c:v>
                </c:pt>
              </c:numCache>
            </c:numRef>
          </c:cat>
          <c:val>
            <c:numRef>
              <c:f>'New Creation'!$E$3:$E$63</c:f>
              <c:numCache>
                <c:formatCode>General</c:formatCode>
                <c:ptCount val="53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72-4759-A1A2-D5DF9179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225567"/>
        <c:axId val="1278224127"/>
      </c:lineChart>
      <c:catAx>
        <c:axId val="1278225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4127"/>
        <c:crosses val="autoZero"/>
        <c:auto val="1"/>
        <c:lblAlgn val="ctr"/>
        <c:lblOffset val="100"/>
        <c:noMultiLvlLbl val="0"/>
      </c:catAx>
      <c:valAx>
        <c:axId val="12782241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5567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69743126371497"/>
          <c:y val="0.93571383577052869"/>
          <c:w val="0.66460486294881094"/>
          <c:h val="6.428616422947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49670840325286E-2"/>
          <c:y val="0.12697262842144733"/>
          <c:w val="0.88599231724512795"/>
          <c:h val="0.6682783289027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SM Plan'!$B$2</c:f>
              <c:strCache>
                <c:ptCount val="1"/>
                <c:pt idx="0">
                  <c:v>UNDER 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SM Plan'!$A$3:$A$60</c:f>
              <c:numCache>
                <c:formatCode>m/d/yyyy</c:formatCode>
                <c:ptCount val="58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46207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46214</c:v>
                </c:pt>
                <c:pt idx="17">
                  <c:v>46216</c:v>
                </c:pt>
                <c:pt idx="18">
                  <c:v>46217</c:v>
                </c:pt>
                <c:pt idx="19">
                  <c:v>46218</c:v>
                </c:pt>
                <c:pt idx="20">
                  <c:v>46219</c:v>
                </c:pt>
                <c:pt idx="21">
                  <c:v>46220</c:v>
                </c:pt>
                <c:pt idx="22">
                  <c:v>46221</c:v>
                </c:pt>
                <c:pt idx="23">
                  <c:v>46223</c:v>
                </c:pt>
                <c:pt idx="24">
                  <c:v>46224</c:v>
                </c:pt>
                <c:pt idx="25">
                  <c:v>46225</c:v>
                </c:pt>
                <c:pt idx="26">
                  <c:v>46226</c:v>
                </c:pt>
                <c:pt idx="27">
                  <c:v>46227</c:v>
                </c:pt>
                <c:pt idx="28">
                  <c:v>46228</c:v>
                </c:pt>
                <c:pt idx="29">
                  <c:v>46230</c:v>
                </c:pt>
                <c:pt idx="30">
                  <c:v>46231</c:v>
                </c:pt>
                <c:pt idx="31">
                  <c:v>46232</c:v>
                </c:pt>
                <c:pt idx="32">
                  <c:v>46233</c:v>
                </c:pt>
                <c:pt idx="33">
                  <c:v>46234</c:v>
                </c:pt>
                <c:pt idx="34">
                  <c:v>46235</c:v>
                </c:pt>
                <c:pt idx="35">
                  <c:v>46237</c:v>
                </c:pt>
                <c:pt idx="36">
                  <c:v>46238</c:v>
                </c:pt>
                <c:pt idx="37">
                  <c:v>46239</c:v>
                </c:pt>
                <c:pt idx="38">
                  <c:v>46240</c:v>
                </c:pt>
                <c:pt idx="39">
                  <c:v>46241</c:v>
                </c:pt>
                <c:pt idx="40">
                  <c:v>46242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46249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46258</c:v>
                </c:pt>
                <c:pt idx="54">
                  <c:v>46259</c:v>
                </c:pt>
                <c:pt idx="55">
                  <c:v>46260</c:v>
                </c:pt>
                <c:pt idx="56">
                  <c:v>46261</c:v>
                </c:pt>
                <c:pt idx="57">
                  <c:v>46262</c:v>
                </c:pt>
              </c:numCache>
            </c:numRef>
          </c:cat>
          <c:val>
            <c:numRef>
              <c:f>'Summary SM Plan'!$B$3:$B$92</c:f>
              <c:numCache>
                <c:formatCode>General</c:formatCode>
                <c:ptCount val="90"/>
                <c:pt idx="0">
                  <c:v>61</c:v>
                </c:pt>
                <c:pt idx="1">
                  <c:v>58</c:v>
                </c:pt>
                <c:pt idx="2">
                  <c:v>76</c:v>
                </c:pt>
                <c:pt idx="3">
                  <c:v>76</c:v>
                </c:pt>
                <c:pt idx="4">
                  <c:v>71</c:v>
                </c:pt>
                <c:pt idx="5">
                  <c:v>68</c:v>
                </c:pt>
                <c:pt idx="6">
                  <c:v>38</c:v>
                </c:pt>
                <c:pt idx="7">
                  <c:v>37</c:v>
                </c:pt>
                <c:pt idx="8">
                  <c:v>36</c:v>
                </c:pt>
                <c:pt idx="9">
                  <c:v>35</c:v>
                </c:pt>
                <c:pt idx="10">
                  <c:v>34</c:v>
                </c:pt>
                <c:pt idx="11">
                  <c:v>33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E-450C-890B-30EC6D8AA687}"/>
            </c:ext>
          </c:extLst>
        </c:ser>
        <c:ser>
          <c:idx val="1"/>
          <c:order val="1"/>
          <c:tx>
            <c:strRef>
              <c:f>'Summary SM Plan'!$C$2</c:f>
              <c:strCache>
                <c:ptCount val="1"/>
                <c:pt idx="0">
                  <c:v>SCRAP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'Summary SM Plan'!$A$3:$A$60</c:f>
              <c:numCache>
                <c:formatCode>m/d/yyyy</c:formatCode>
                <c:ptCount val="58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46207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46214</c:v>
                </c:pt>
                <c:pt idx="17">
                  <c:v>46216</c:v>
                </c:pt>
                <c:pt idx="18">
                  <c:v>46217</c:v>
                </c:pt>
                <c:pt idx="19">
                  <c:v>46218</c:v>
                </c:pt>
                <c:pt idx="20">
                  <c:v>46219</c:v>
                </c:pt>
                <c:pt idx="21">
                  <c:v>46220</c:v>
                </c:pt>
                <c:pt idx="22">
                  <c:v>46221</c:v>
                </c:pt>
                <c:pt idx="23">
                  <c:v>46223</c:v>
                </c:pt>
                <c:pt idx="24">
                  <c:v>46224</c:v>
                </c:pt>
                <c:pt idx="25">
                  <c:v>46225</c:v>
                </c:pt>
                <c:pt idx="26">
                  <c:v>46226</c:v>
                </c:pt>
                <c:pt idx="27">
                  <c:v>46227</c:v>
                </c:pt>
                <c:pt idx="28">
                  <c:v>46228</c:v>
                </c:pt>
                <c:pt idx="29">
                  <c:v>46230</c:v>
                </c:pt>
                <c:pt idx="30">
                  <c:v>46231</c:v>
                </c:pt>
                <c:pt idx="31">
                  <c:v>46232</c:v>
                </c:pt>
                <c:pt idx="32">
                  <c:v>46233</c:v>
                </c:pt>
                <c:pt idx="33">
                  <c:v>46234</c:v>
                </c:pt>
                <c:pt idx="34">
                  <c:v>46235</c:v>
                </c:pt>
                <c:pt idx="35">
                  <c:v>46237</c:v>
                </c:pt>
                <c:pt idx="36">
                  <c:v>46238</c:v>
                </c:pt>
                <c:pt idx="37">
                  <c:v>46239</c:v>
                </c:pt>
                <c:pt idx="38">
                  <c:v>46240</c:v>
                </c:pt>
                <c:pt idx="39">
                  <c:v>46241</c:v>
                </c:pt>
                <c:pt idx="40">
                  <c:v>46242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46249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46258</c:v>
                </c:pt>
                <c:pt idx="54">
                  <c:v>46259</c:v>
                </c:pt>
                <c:pt idx="55">
                  <c:v>46260</c:v>
                </c:pt>
                <c:pt idx="56">
                  <c:v>46261</c:v>
                </c:pt>
                <c:pt idx="57">
                  <c:v>46262</c:v>
                </c:pt>
              </c:numCache>
            </c:numRef>
          </c:cat>
          <c:val>
            <c:numRef>
              <c:f>'Summary SM Plan'!$C$3:$C$91</c:f>
              <c:numCache>
                <c:formatCode>General</c:formatCode>
                <c:ptCount val="89"/>
                <c:pt idx="0">
                  <c:v>88</c:v>
                </c:pt>
                <c:pt idx="1">
                  <c:v>87</c:v>
                </c:pt>
                <c:pt idx="2">
                  <c:v>59</c:v>
                </c:pt>
                <c:pt idx="3">
                  <c:v>59</c:v>
                </c:pt>
                <c:pt idx="4">
                  <c:v>58</c:v>
                </c:pt>
                <c:pt idx="5">
                  <c:v>58</c:v>
                </c:pt>
                <c:pt idx="6">
                  <c:v>51</c:v>
                </c:pt>
                <c:pt idx="7">
                  <c:v>50</c:v>
                </c:pt>
                <c:pt idx="8">
                  <c:v>49</c:v>
                </c:pt>
                <c:pt idx="9">
                  <c:v>48</c:v>
                </c:pt>
                <c:pt idx="10">
                  <c:v>47</c:v>
                </c:pt>
                <c:pt idx="11">
                  <c:v>46</c:v>
                </c:pt>
                <c:pt idx="12">
                  <c:v>45</c:v>
                </c:pt>
                <c:pt idx="13">
                  <c:v>44</c:v>
                </c:pt>
                <c:pt idx="14">
                  <c:v>43</c:v>
                </c:pt>
                <c:pt idx="15">
                  <c:v>42</c:v>
                </c:pt>
                <c:pt idx="16">
                  <c:v>41</c:v>
                </c:pt>
                <c:pt idx="17">
                  <c:v>40</c:v>
                </c:pt>
                <c:pt idx="18">
                  <c:v>39</c:v>
                </c:pt>
                <c:pt idx="19">
                  <c:v>38</c:v>
                </c:pt>
                <c:pt idx="20">
                  <c:v>37</c:v>
                </c:pt>
                <c:pt idx="21">
                  <c:v>36</c:v>
                </c:pt>
                <c:pt idx="22">
                  <c:v>35</c:v>
                </c:pt>
                <c:pt idx="23">
                  <c:v>34</c:v>
                </c:pt>
                <c:pt idx="24">
                  <c:v>33</c:v>
                </c:pt>
                <c:pt idx="25">
                  <c:v>32</c:v>
                </c:pt>
                <c:pt idx="26">
                  <c:v>31</c:v>
                </c:pt>
                <c:pt idx="27">
                  <c:v>30</c:v>
                </c:pt>
                <c:pt idx="28">
                  <c:v>29</c:v>
                </c:pt>
                <c:pt idx="29">
                  <c:v>28</c:v>
                </c:pt>
                <c:pt idx="30">
                  <c:v>27</c:v>
                </c:pt>
                <c:pt idx="31">
                  <c:v>26</c:v>
                </c:pt>
                <c:pt idx="32">
                  <c:v>25</c:v>
                </c:pt>
                <c:pt idx="33">
                  <c:v>24</c:v>
                </c:pt>
                <c:pt idx="34">
                  <c:v>23</c:v>
                </c:pt>
                <c:pt idx="35">
                  <c:v>22</c:v>
                </c:pt>
                <c:pt idx="36">
                  <c:v>21</c:v>
                </c:pt>
                <c:pt idx="37">
                  <c:v>20</c:v>
                </c:pt>
                <c:pt idx="38">
                  <c:v>19</c:v>
                </c:pt>
                <c:pt idx="39">
                  <c:v>18</c:v>
                </c:pt>
                <c:pt idx="40">
                  <c:v>17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11</c:v>
                </c:pt>
                <c:pt idx="47">
                  <c:v>10</c:v>
                </c:pt>
                <c:pt idx="48">
                  <c:v>9</c:v>
                </c:pt>
                <c:pt idx="49">
                  <c:v>8</c:v>
                </c:pt>
                <c:pt idx="50">
                  <c:v>7</c:v>
                </c:pt>
                <c:pt idx="51">
                  <c:v>6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E-450C-890B-30EC6D8AA687}"/>
            </c:ext>
          </c:extLst>
        </c:ser>
        <c:ser>
          <c:idx val="2"/>
          <c:order val="2"/>
          <c:tx>
            <c:strRef>
              <c:f>'Summary SM Plan'!$D$2</c:f>
              <c:strCache>
                <c:ptCount val="1"/>
                <c:pt idx="0">
                  <c:v>CLEANER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'Summary SM Plan'!$A$3:$A$60</c:f>
              <c:numCache>
                <c:formatCode>m/d/yyyy</c:formatCode>
                <c:ptCount val="58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46207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46214</c:v>
                </c:pt>
                <c:pt idx="17">
                  <c:v>46216</c:v>
                </c:pt>
                <c:pt idx="18">
                  <c:v>46217</c:v>
                </c:pt>
                <c:pt idx="19">
                  <c:v>46218</c:v>
                </c:pt>
                <c:pt idx="20">
                  <c:v>46219</c:v>
                </c:pt>
                <c:pt idx="21">
                  <c:v>46220</c:v>
                </c:pt>
                <c:pt idx="22">
                  <c:v>46221</c:v>
                </c:pt>
                <c:pt idx="23">
                  <c:v>46223</c:v>
                </c:pt>
                <c:pt idx="24">
                  <c:v>46224</c:v>
                </c:pt>
                <c:pt idx="25">
                  <c:v>46225</c:v>
                </c:pt>
                <c:pt idx="26">
                  <c:v>46226</c:v>
                </c:pt>
                <c:pt idx="27">
                  <c:v>46227</c:v>
                </c:pt>
                <c:pt idx="28">
                  <c:v>46228</c:v>
                </c:pt>
                <c:pt idx="29">
                  <c:v>46230</c:v>
                </c:pt>
                <c:pt idx="30">
                  <c:v>46231</c:v>
                </c:pt>
                <c:pt idx="31">
                  <c:v>46232</c:v>
                </c:pt>
                <c:pt idx="32">
                  <c:v>46233</c:v>
                </c:pt>
                <c:pt idx="33">
                  <c:v>46234</c:v>
                </c:pt>
                <c:pt idx="34">
                  <c:v>46235</c:v>
                </c:pt>
                <c:pt idx="35">
                  <c:v>46237</c:v>
                </c:pt>
                <c:pt idx="36">
                  <c:v>46238</c:v>
                </c:pt>
                <c:pt idx="37">
                  <c:v>46239</c:v>
                </c:pt>
                <c:pt idx="38">
                  <c:v>46240</c:v>
                </c:pt>
                <c:pt idx="39">
                  <c:v>46241</c:v>
                </c:pt>
                <c:pt idx="40">
                  <c:v>46242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46249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46258</c:v>
                </c:pt>
                <c:pt idx="54">
                  <c:v>46259</c:v>
                </c:pt>
                <c:pt idx="55">
                  <c:v>46260</c:v>
                </c:pt>
                <c:pt idx="56">
                  <c:v>46261</c:v>
                </c:pt>
                <c:pt idx="57">
                  <c:v>46262</c:v>
                </c:pt>
              </c:numCache>
            </c:numRef>
          </c:cat>
          <c:val>
            <c:numRef>
              <c:f>'Summary SM Plan'!$D$3:$D$60</c:f>
              <c:numCache>
                <c:formatCode>General</c:formatCode>
                <c:ptCount val="58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46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46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E-450C-890B-30EC6D8AA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225567"/>
        <c:axId val="1278224127"/>
      </c:barChart>
      <c:lineChart>
        <c:grouping val="standard"/>
        <c:varyColors val="0"/>
        <c:ser>
          <c:idx val="3"/>
          <c:order val="3"/>
          <c:tx>
            <c:strRef>
              <c:f>'Summary SM Plan'!$F$2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'Summary SM Plan'!$A$3:$A$91</c:f>
              <c:numCache>
                <c:formatCode>m/d/yyyy</c:formatCode>
                <c:ptCount val="89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46207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46214</c:v>
                </c:pt>
                <c:pt idx="17">
                  <c:v>46216</c:v>
                </c:pt>
                <c:pt idx="18">
                  <c:v>46217</c:v>
                </c:pt>
                <c:pt idx="19">
                  <c:v>46218</c:v>
                </c:pt>
                <c:pt idx="20">
                  <c:v>46219</c:v>
                </c:pt>
                <c:pt idx="21">
                  <c:v>46220</c:v>
                </c:pt>
                <c:pt idx="22">
                  <c:v>46221</c:v>
                </c:pt>
                <c:pt idx="23">
                  <c:v>46223</c:v>
                </c:pt>
                <c:pt idx="24">
                  <c:v>46224</c:v>
                </c:pt>
                <c:pt idx="25">
                  <c:v>46225</c:v>
                </c:pt>
                <c:pt idx="26">
                  <c:v>46226</c:v>
                </c:pt>
                <c:pt idx="27">
                  <c:v>46227</c:v>
                </c:pt>
                <c:pt idx="28">
                  <c:v>46228</c:v>
                </c:pt>
                <c:pt idx="29">
                  <c:v>46230</c:v>
                </c:pt>
                <c:pt idx="30">
                  <c:v>46231</c:v>
                </c:pt>
                <c:pt idx="31">
                  <c:v>46232</c:v>
                </c:pt>
                <c:pt idx="32">
                  <c:v>46233</c:v>
                </c:pt>
                <c:pt idx="33">
                  <c:v>46234</c:v>
                </c:pt>
                <c:pt idx="34">
                  <c:v>46235</c:v>
                </c:pt>
                <c:pt idx="35">
                  <c:v>46237</c:v>
                </c:pt>
                <c:pt idx="36">
                  <c:v>46238</c:v>
                </c:pt>
                <c:pt idx="37">
                  <c:v>46239</c:v>
                </c:pt>
                <c:pt idx="38">
                  <c:v>46240</c:v>
                </c:pt>
                <c:pt idx="39">
                  <c:v>46241</c:v>
                </c:pt>
                <c:pt idx="40">
                  <c:v>46242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46249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46258</c:v>
                </c:pt>
                <c:pt idx="54">
                  <c:v>46259</c:v>
                </c:pt>
                <c:pt idx="55">
                  <c:v>46260</c:v>
                </c:pt>
                <c:pt idx="56">
                  <c:v>46261</c:v>
                </c:pt>
                <c:pt idx="57">
                  <c:v>46262</c:v>
                </c:pt>
              </c:numCache>
            </c:numRef>
          </c:cat>
          <c:val>
            <c:numRef>
              <c:f>'Summary SM Plan'!$F$3:$F$91</c:f>
              <c:numCache>
                <c:formatCode>General</c:formatCode>
                <c:ptCount val="89"/>
                <c:pt idx="0">
                  <c:v>197</c:v>
                </c:pt>
                <c:pt idx="1">
                  <c:v>193</c:v>
                </c:pt>
                <c:pt idx="2">
                  <c:v>183</c:v>
                </c:pt>
                <c:pt idx="3">
                  <c:v>183</c:v>
                </c:pt>
                <c:pt idx="4">
                  <c:v>177</c:v>
                </c:pt>
                <c:pt idx="5">
                  <c:v>174</c:v>
                </c:pt>
                <c:pt idx="6">
                  <c:v>137</c:v>
                </c:pt>
                <c:pt idx="7">
                  <c:v>133</c:v>
                </c:pt>
                <c:pt idx="8">
                  <c:v>131</c:v>
                </c:pt>
                <c:pt idx="9">
                  <c:v>129</c:v>
                </c:pt>
                <c:pt idx="10">
                  <c:v>127</c:v>
                </c:pt>
                <c:pt idx="11">
                  <c:v>125</c:v>
                </c:pt>
                <c:pt idx="12">
                  <c:v>123</c:v>
                </c:pt>
                <c:pt idx="13">
                  <c:v>121</c:v>
                </c:pt>
                <c:pt idx="14">
                  <c:v>119</c:v>
                </c:pt>
                <c:pt idx="15">
                  <c:v>117</c:v>
                </c:pt>
                <c:pt idx="16">
                  <c:v>115</c:v>
                </c:pt>
                <c:pt idx="17">
                  <c:v>113</c:v>
                </c:pt>
                <c:pt idx="18">
                  <c:v>111</c:v>
                </c:pt>
                <c:pt idx="19">
                  <c:v>109</c:v>
                </c:pt>
                <c:pt idx="20">
                  <c:v>107</c:v>
                </c:pt>
                <c:pt idx="21">
                  <c:v>105</c:v>
                </c:pt>
                <c:pt idx="22">
                  <c:v>103</c:v>
                </c:pt>
                <c:pt idx="23">
                  <c:v>101</c:v>
                </c:pt>
                <c:pt idx="24">
                  <c:v>99</c:v>
                </c:pt>
                <c:pt idx="25">
                  <c:v>97</c:v>
                </c:pt>
                <c:pt idx="26">
                  <c:v>95</c:v>
                </c:pt>
                <c:pt idx="27">
                  <c:v>93</c:v>
                </c:pt>
                <c:pt idx="28">
                  <c:v>91</c:v>
                </c:pt>
                <c:pt idx="29">
                  <c:v>89</c:v>
                </c:pt>
                <c:pt idx="30">
                  <c:v>87</c:v>
                </c:pt>
                <c:pt idx="31">
                  <c:v>85</c:v>
                </c:pt>
                <c:pt idx="32">
                  <c:v>83</c:v>
                </c:pt>
                <c:pt idx="33">
                  <c:v>81</c:v>
                </c:pt>
                <c:pt idx="34">
                  <c:v>77</c:v>
                </c:pt>
                <c:pt idx="35">
                  <c:v>75</c:v>
                </c:pt>
                <c:pt idx="36">
                  <c:v>73</c:v>
                </c:pt>
                <c:pt idx="37">
                  <c:v>71</c:v>
                </c:pt>
                <c:pt idx="38">
                  <c:v>69</c:v>
                </c:pt>
                <c:pt idx="39">
                  <c:v>67</c:v>
                </c:pt>
                <c:pt idx="40">
                  <c:v>65</c:v>
                </c:pt>
                <c:pt idx="41">
                  <c:v>63</c:v>
                </c:pt>
                <c:pt idx="42">
                  <c:v>61</c:v>
                </c:pt>
                <c:pt idx="43">
                  <c:v>59</c:v>
                </c:pt>
                <c:pt idx="44">
                  <c:v>57</c:v>
                </c:pt>
                <c:pt idx="45">
                  <c:v>56</c:v>
                </c:pt>
                <c:pt idx="46">
                  <c:v>55</c:v>
                </c:pt>
                <c:pt idx="47">
                  <c:v>54</c:v>
                </c:pt>
                <c:pt idx="48">
                  <c:v>53</c:v>
                </c:pt>
                <c:pt idx="49">
                  <c:v>52</c:v>
                </c:pt>
                <c:pt idx="50">
                  <c:v>51</c:v>
                </c:pt>
                <c:pt idx="51">
                  <c:v>50</c:v>
                </c:pt>
                <c:pt idx="52">
                  <c:v>49</c:v>
                </c:pt>
                <c:pt idx="53">
                  <c:v>48</c:v>
                </c:pt>
                <c:pt idx="54">
                  <c:v>47</c:v>
                </c:pt>
                <c:pt idx="55">
                  <c:v>46</c:v>
                </c:pt>
                <c:pt idx="56">
                  <c:v>45</c:v>
                </c:pt>
                <c:pt idx="5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E-450C-890B-30EC6D8AA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012191"/>
        <c:axId val="2122033311"/>
      </c:lineChart>
      <c:dateAx>
        <c:axId val="1278225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4127"/>
        <c:crosses val="autoZero"/>
        <c:auto val="1"/>
        <c:lblOffset val="100"/>
        <c:baseTimeUnit val="days"/>
      </c:dateAx>
      <c:valAx>
        <c:axId val="127822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5567"/>
        <c:crosses val="autoZero"/>
        <c:crossBetween val="between"/>
        <c:majorUnit val="40"/>
      </c:valAx>
      <c:valAx>
        <c:axId val="2122033311"/>
        <c:scaling>
          <c:orientation val="minMax"/>
          <c:max val="198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12191"/>
        <c:crosses val="max"/>
        <c:crossBetween val="between"/>
      </c:valAx>
      <c:dateAx>
        <c:axId val="21220121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2203331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69743126371497"/>
          <c:y val="0.93571383577052869"/>
          <c:w val="0.66460486294881094"/>
          <c:h val="6.428616422947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04568940101097E-2"/>
          <c:y val="0.12567049638247041"/>
          <c:w val="0.88599231724512795"/>
          <c:h val="0.6682783289027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SM Actual'!$B$2</c:f>
              <c:strCache>
                <c:ptCount val="1"/>
                <c:pt idx="0">
                  <c:v>UNDER 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SM Actual'!$A$3:$A$92</c:f>
              <c:numCache>
                <c:formatCode>m/d/yyyy</c:formatCode>
                <c:ptCount val="9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46233</c:v>
                </c:pt>
                <c:pt idx="34">
                  <c:v>46234</c:v>
                </c:pt>
                <c:pt idx="35">
                  <c:v>46235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46242</c:v>
                </c:pt>
                <c:pt idx="42">
                  <c:v>46244</c:v>
                </c:pt>
                <c:pt idx="43">
                  <c:v>46245</c:v>
                </c:pt>
                <c:pt idx="44">
                  <c:v>46246</c:v>
                </c:pt>
                <c:pt idx="45">
                  <c:v>46247</c:v>
                </c:pt>
                <c:pt idx="46">
                  <c:v>46248</c:v>
                </c:pt>
                <c:pt idx="47">
                  <c:v>46249</c:v>
                </c:pt>
                <c:pt idx="48">
                  <c:v>46251</c:v>
                </c:pt>
                <c:pt idx="49">
                  <c:v>46252</c:v>
                </c:pt>
                <c:pt idx="50">
                  <c:v>46253</c:v>
                </c:pt>
                <c:pt idx="51">
                  <c:v>46254</c:v>
                </c:pt>
                <c:pt idx="52">
                  <c:v>46255</c:v>
                </c:pt>
                <c:pt idx="53">
                  <c:v>46256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46265</c:v>
                </c:pt>
                <c:pt idx="61">
                  <c:v>46266</c:v>
                </c:pt>
                <c:pt idx="62">
                  <c:v>46267</c:v>
                </c:pt>
                <c:pt idx="63">
                  <c:v>46268</c:v>
                </c:pt>
                <c:pt idx="64">
                  <c:v>46269</c:v>
                </c:pt>
                <c:pt idx="65">
                  <c:v>46270</c:v>
                </c:pt>
                <c:pt idx="66">
                  <c:v>46272</c:v>
                </c:pt>
                <c:pt idx="67">
                  <c:v>46273</c:v>
                </c:pt>
                <c:pt idx="68">
                  <c:v>46274</c:v>
                </c:pt>
                <c:pt idx="69">
                  <c:v>46275</c:v>
                </c:pt>
                <c:pt idx="70">
                  <c:v>46276</c:v>
                </c:pt>
                <c:pt idx="71">
                  <c:v>46277</c:v>
                </c:pt>
                <c:pt idx="72">
                  <c:v>46279</c:v>
                </c:pt>
                <c:pt idx="73">
                  <c:v>46280</c:v>
                </c:pt>
                <c:pt idx="74">
                  <c:v>46281</c:v>
                </c:pt>
                <c:pt idx="75">
                  <c:v>46282</c:v>
                </c:pt>
                <c:pt idx="76">
                  <c:v>46283</c:v>
                </c:pt>
                <c:pt idx="77">
                  <c:v>46284</c:v>
                </c:pt>
                <c:pt idx="78">
                  <c:v>46286</c:v>
                </c:pt>
                <c:pt idx="79">
                  <c:v>46287</c:v>
                </c:pt>
                <c:pt idx="80">
                  <c:v>46288</c:v>
                </c:pt>
                <c:pt idx="81">
                  <c:v>46289</c:v>
                </c:pt>
                <c:pt idx="82">
                  <c:v>46290</c:v>
                </c:pt>
                <c:pt idx="83">
                  <c:v>46291</c:v>
                </c:pt>
                <c:pt idx="84">
                  <c:v>46293</c:v>
                </c:pt>
                <c:pt idx="85">
                  <c:v>46294</c:v>
                </c:pt>
                <c:pt idx="86">
                  <c:v>46295</c:v>
                </c:pt>
                <c:pt idx="87">
                  <c:v>46296</c:v>
                </c:pt>
                <c:pt idx="88">
                  <c:v>46297</c:v>
                </c:pt>
                <c:pt idx="89">
                  <c:v>46298</c:v>
                </c:pt>
              </c:numCache>
            </c:numRef>
          </c:cat>
          <c:val>
            <c:numRef>
              <c:f>'Summary SM Actual'!$B$3:$B$51</c:f>
              <c:numCache>
                <c:formatCode>General</c:formatCode>
                <c:ptCount val="49"/>
                <c:pt idx="0">
                  <c:v>61</c:v>
                </c:pt>
                <c:pt idx="1">
                  <c:v>59</c:v>
                </c:pt>
                <c:pt idx="2">
                  <c:v>55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5-4FA7-BBE5-8BBA5AACA7A2}"/>
            </c:ext>
          </c:extLst>
        </c:ser>
        <c:ser>
          <c:idx val="1"/>
          <c:order val="1"/>
          <c:tx>
            <c:strRef>
              <c:f>'Summary SM Actual'!$C$2</c:f>
              <c:strCache>
                <c:ptCount val="1"/>
                <c:pt idx="0">
                  <c:v>SCRAP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'Summary SM Actual'!$A$3:$A$92</c:f>
              <c:numCache>
                <c:formatCode>m/d/yyyy</c:formatCode>
                <c:ptCount val="9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46233</c:v>
                </c:pt>
                <c:pt idx="34">
                  <c:v>46234</c:v>
                </c:pt>
                <c:pt idx="35">
                  <c:v>46235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46242</c:v>
                </c:pt>
                <c:pt idx="42">
                  <c:v>46244</c:v>
                </c:pt>
                <c:pt idx="43">
                  <c:v>46245</c:v>
                </c:pt>
                <c:pt idx="44">
                  <c:v>46246</c:v>
                </c:pt>
                <c:pt idx="45">
                  <c:v>46247</c:v>
                </c:pt>
                <c:pt idx="46">
                  <c:v>46248</c:v>
                </c:pt>
                <c:pt idx="47">
                  <c:v>46249</c:v>
                </c:pt>
                <c:pt idx="48">
                  <c:v>46251</c:v>
                </c:pt>
                <c:pt idx="49">
                  <c:v>46252</c:v>
                </c:pt>
                <c:pt idx="50">
                  <c:v>46253</c:v>
                </c:pt>
                <c:pt idx="51">
                  <c:v>46254</c:v>
                </c:pt>
                <c:pt idx="52">
                  <c:v>46255</c:v>
                </c:pt>
                <c:pt idx="53">
                  <c:v>46256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46265</c:v>
                </c:pt>
                <c:pt idx="61">
                  <c:v>46266</c:v>
                </c:pt>
                <c:pt idx="62">
                  <c:v>46267</c:v>
                </c:pt>
                <c:pt idx="63">
                  <c:v>46268</c:v>
                </c:pt>
                <c:pt idx="64">
                  <c:v>46269</c:v>
                </c:pt>
                <c:pt idx="65">
                  <c:v>46270</c:v>
                </c:pt>
                <c:pt idx="66">
                  <c:v>46272</c:v>
                </c:pt>
                <c:pt idx="67">
                  <c:v>46273</c:v>
                </c:pt>
                <c:pt idx="68">
                  <c:v>46274</c:v>
                </c:pt>
                <c:pt idx="69">
                  <c:v>46275</c:v>
                </c:pt>
                <c:pt idx="70">
                  <c:v>46276</c:v>
                </c:pt>
                <c:pt idx="71">
                  <c:v>46277</c:v>
                </c:pt>
                <c:pt idx="72">
                  <c:v>46279</c:v>
                </c:pt>
                <c:pt idx="73">
                  <c:v>46280</c:v>
                </c:pt>
                <c:pt idx="74">
                  <c:v>46281</c:v>
                </c:pt>
                <c:pt idx="75">
                  <c:v>46282</c:v>
                </c:pt>
                <c:pt idx="76">
                  <c:v>46283</c:v>
                </c:pt>
                <c:pt idx="77">
                  <c:v>46284</c:v>
                </c:pt>
                <c:pt idx="78">
                  <c:v>46286</c:v>
                </c:pt>
                <c:pt idx="79">
                  <c:v>46287</c:v>
                </c:pt>
                <c:pt idx="80">
                  <c:v>46288</c:v>
                </c:pt>
                <c:pt idx="81">
                  <c:v>46289</c:v>
                </c:pt>
                <c:pt idx="82">
                  <c:v>46290</c:v>
                </c:pt>
                <c:pt idx="83">
                  <c:v>46291</c:v>
                </c:pt>
                <c:pt idx="84">
                  <c:v>46293</c:v>
                </c:pt>
                <c:pt idx="85">
                  <c:v>46294</c:v>
                </c:pt>
                <c:pt idx="86">
                  <c:v>46295</c:v>
                </c:pt>
                <c:pt idx="87">
                  <c:v>46296</c:v>
                </c:pt>
                <c:pt idx="88">
                  <c:v>46297</c:v>
                </c:pt>
                <c:pt idx="89">
                  <c:v>46298</c:v>
                </c:pt>
              </c:numCache>
            </c:numRef>
          </c:cat>
          <c:val>
            <c:numRef>
              <c:f>'Summary SM Actual'!$C$3:$C$51</c:f>
              <c:numCache>
                <c:formatCode>General</c:formatCode>
                <c:ptCount val="49"/>
                <c:pt idx="0">
                  <c:v>88</c:v>
                </c:pt>
                <c:pt idx="1">
                  <c:v>88</c:v>
                </c:pt>
                <c:pt idx="2">
                  <c:v>84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5-4FA7-BBE5-8BBA5AACA7A2}"/>
            </c:ext>
          </c:extLst>
        </c:ser>
        <c:ser>
          <c:idx val="2"/>
          <c:order val="2"/>
          <c:tx>
            <c:strRef>
              <c:f>'Summary SM Actual'!$D$2</c:f>
              <c:strCache>
                <c:ptCount val="1"/>
                <c:pt idx="0">
                  <c:v>CLEANER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'Summary SM Actual'!$A$3:$A$92</c:f>
              <c:numCache>
                <c:formatCode>m/d/yyyy</c:formatCode>
                <c:ptCount val="9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46233</c:v>
                </c:pt>
                <c:pt idx="34">
                  <c:v>46234</c:v>
                </c:pt>
                <c:pt idx="35">
                  <c:v>46235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46242</c:v>
                </c:pt>
                <c:pt idx="42">
                  <c:v>46244</c:v>
                </c:pt>
                <c:pt idx="43">
                  <c:v>46245</c:v>
                </c:pt>
                <c:pt idx="44">
                  <c:v>46246</c:v>
                </c:pt>
                <c:pt idx="45">
                  <c:v>46247</c:v>
                </c:pt>
                <c:pt idx="46">
                  <c:v>46248</c:v>
                </c:pt>
                <c:pt idx="47">
                  <c:v>46249</c:v>
                </c:pt>
                <c:pt idx="48">
                  <c:v>46251</c:v>
                </c:pt>
                <c:pt idx="49">
                  <c:v>46252</c:v>
                </c:pt>
                <c:pt idx="50">
                  <c:v>46253</c:v>
                </c:pt>
                <c:pt idx="51">
                  <c:v>46254</c:v>
                </c:pt>
                <c:pt idx="52">
                  <c:v>46255</c:v>
                </c:pt>
                <c:pt idx="53">
                  <c:v>46256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46265</c:v>
                </c:pt>
                <c:pt idx="61">
                  <c:v>46266</c:v>
                </c:pt>
                <c:pt idx="62">
                  <c:v>46267</c:v>
                </c:pt>
                <c:pt idx="63">
                  <c:v>46268</c:v>
                </c:pt>
                <c:pt idx="64">
                  <c:v>46269</c:v>
                </c:pt>
                <c:pt idx="65">
                  <c:v>46270</c:v>
                </c:pt>
                <c:pt idx="66">
                  <c:v>46272</c:v>
                </c:pt>
                <c:pt idx="67">
                  <c:v>46273</c:v>
                </c:pt>
                <c:pt idx="68">
                  <c:v>46274</c:v>
                </c:pt>
                <c:pt idx="69">
                  <c:v>46275</c:v>
                </c:pt>
                <c:pt idx="70">
                  <c:v>46276</c:v>
                </c:pt>
                <c:pt idx="71">
                  <c:v>46277</c:v>
                </c:pt>
                <c:pt idx="72">
                  <c:v>46279</c:v>
                </c:pt>
                <c:pt idx="73">
                  <c:v>46280</c:v>
                </c:pt>
                <c:pt idx="74">
                  <c:v>46281</c:v>
                </c:pt>
                <c:pt idx="75">
                  <c:v>46282</c:v>
                </c:pt>
                <c:pt idx="76">
                  <c:v>46283</c:v>
                </c:pt>
                <c:pt idx="77">
                  <c:v>46284</c:v>
                </c:pt>
                <c:pt idx="78">
                  <c:v>46286</c:v>
                </c:pt>
                <c:pt idx="79">
                  <c:v>46287</c:v>
                </c:pt>
                <c:pt idx="80">
                  <c:v>46288</c:v>
                </c:pt>
                <c:pt idx="81">
                  <c:v>46289</c:v>
                </c:pt>
                <c:pt idx="82">
                  <c:v>46290</c:v>
                </c:pt>
                <c:pt idx="83">
                  <c:v>46291</c:v>
                </c:pt>
                <c:pt idx="84">
                  <c:v>46293</c:v>
                </c:pt>
                <c:pt idx="85">
                  <c:v>46294</c:v>
                </c:pt>
                <c:pt idx="86">
                  <c:v>46295</c:v>
                </c:pt>
                <c:pt idx="87">
                  <c:v>46296</c:v>
                </c:pt>
                <c:pt idx="88">
                  <c:v>46297</c:v>
                </c:pt>
                <c:pt idx="89">
                  <c:v>46298</c:v>
                </c:pt>
              </c:numCache>
            </c:numRef>
          </c:cat>
          <c:val>
            <c:numRef>
              <c:f>'Summary SM Actual'!$D$3:$D$51</c:f>
              <c:numCache>
                <c:formatCode>General</c:formatCode>
                <c:ptCount val="49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5-4FA7-BBE5-8BBA5AACA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225567"/>
        <c:axId val="1278224127"/>
      </c:barChart>
      <c:lineChart>
        <c:grouping val="standard"/>
        <c:varyColors val="0"/>
        <c:ser>
          <c:idx val="3"/>
          <c:order val="3"/>
          <c:tx>
            <c:strRef>
              <c:f>'Summary SM Actual'!$F$2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SM Actual'!$A$3:$A$92</c:f>
              <c:numCache>
                <c:formatCode>m/d/yyyy</c:formatCode>
                <c:ptCount val="9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46233</c:v>
                </c:pt>
                <c:pt idx="34">
                  <c:v>46234</c:v>
                </c:pt>
                <c:pt idx="35">
                  <c:v>46235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46242</c:v>
                </c:pt>
                <c:pt idx="42">
                  <c:v>46244</c:v>
                </c:pt>
                <c:pt idx="43">
                  <c:v>46245</c:v>
                </c:pt>
                <c:pt idx="44">
                  <c:v>46246</c:v>
                </c:pt>
                <c:pt idx="45">
                  <c:v>46247</c:v>
                </c:pt>
                <c:pt idx="46">
                  <c:v>46248</c:v>
                </c:pt>
                <c:pt idx="47">
                  <c:v>46249</c:v>
                </c:pt>
                <c:pt idx="48">
                  <c:v>46251</c:v>
                </c:pt>
                <c:pt idx="49">
                  <c:v>46252</c:v>
                </c:pt>
                <c:pt idx="50">
                  <c:v>46253</c:v>
                </c:pt>
                <c:pt idx="51">
                  <c:v>46254</c:v>
                </c:pt>
                <c:pt idx="52">
                  <c:v>46255</c:v>
                </c:pt>
                <c:pt idx="53">
                  <c:v>46256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46265</c:v>
                </c:pt>
                <c:pt idx="61">
                  <c:v>46266</c:v>
                </c:pt>
                <c:pt idx="62">
                  <c:v>46267</c:v>
                </c:pt>
                <c:pt idx="63">
                  <c:v>46268</c:v>
                </c:pt>
                <c:pt idx="64">
                  <c:v>46269</c:v>
                </c:pt>
                <c:pt idx="65">
                  <c:v>46270</c:v>
                </c:pt>
                <c:pt idx="66">
                  <c:v>46272</c:v>
                </c:pt>
                <c:pt idx="67">
                  <c:v>46273</c:v>
                </c:pt>
                <c:pt idx="68">
                  <c:v>46274</c:v>
                </c:pt>
                <c:pt idx="69">
                  <c:v>46275</c:v>
                </c:pt>
                <c:pt idx="70">
                  <c:v>46276</c:v>
                </c:pt>
                <c:pt idx="71">
                  <c:v>46277</c:v>
                </c:pt>
                <c:pt idx="72">
                  <c:v>46279</c:v>
                </c:pt>
                <c:pt idx="73">
                  <c:v>46280</c:v>
                </c:pt>
                <c:pt idx="74">
                  <c:v>46281</c:v>
                </c:pt>
                <c:pt idx="75">
                  <c:v>46282</c:v>
                </c:pt>
                <c:pt idx="76">
                  <c:v>46283</c:v>
                </c:pt>
                <c:pt idx="77">
                  <c:v>46284</c:v>
                </c:pt>
                <c:pt idx="78">
                  <c:v>46286</c:v>
                </c:pt>
                <c:pt idx="79">
                  <c:v>46287</c:v>
                </c:pt>
                <c:pt idx="80">
                  <c:v>46288</c:v>
                </c:pt>
                <c:pt idx="81">
                  <c:v>46289</c:v>
                </c:pt>
                <c:pt idx="82">
                  <c:v>46290</c:v>
                </c:pt>
                <c:pt idx="83">
                  <c:v>46291</c:v>
                </c:pt>
                <c:pt idx="84">
                  <c:v>46293</c:v>
                </c:pt>
                <c:pt idx="85">
                  <c:v>46294</c:v>
                </c:pt>
                <c:pt idx="86">
                  <c:v>46295</c:v>
                </c:pt>
                <c:pt idx="87">
                  <c:v>46296</c:v>
                </c:pt>
                <c:pt idx="88">
                  <c:v>46297</c:v>
                </c:pt>
                <c:pt idx="89">
                  <c:v>46298</c:v>
                </c:pt>
              </c:numCache>
            </c:numRef>
          </c:cat>
          <c:val>
            <c:numRef>
              <c:f>'Summary SM Actual'!$F$3:$F$51</c:f>
              <c:numCache>
                <c:formatCode>General</c:formatCode>
                <c:ptCount val="49"/>
                <c:pt idx="0">
                  <c:v>197</c:v>
                </c:pt>
                <c:pt idx="1">
                  <c:v>195</c:v>
                </c:pt>
                <c:pt idx="2">
                  <c:v>188</c:v>
                </c:pt>
                <c:pt idx="3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15-4FA7-BBE5-8BBA5AACA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308992"/>
        <c:axId val="897307552"/>
      </c:lineChart>
      <c:dateAx>
        <c:axId val="1278225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4127"/>
        <c:crosses val="autoZero"/>
        <c:auto val="1"/>
        <c:lblOffset val="100"/>
        <c:baseTimeUnit val="days"/>
      </c:dateAx>
      <c:valAx>
        <c:axId val="127822412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5567"/>
        <c:crosses val="autoZero"/>
        <c:crossBetween val="between"/>
        <c:majorUnit val="40"/>
      </c:valAx>
      <c:valAx>
        <c:axId val="897307552"/>
        <c:scaling>
          <c:orientation val="minMax"/>
          <c:min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08992"/>
        <c:crosses val="max"/>
        <c:crossBetween val="between"/>
      </c:valAx>
      <c:dateAx>
        <c:axId val="8973089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973075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69743126371497"/>
          <c:y val="0.93571383577052869"/>
          <c:w val="0.66460486294881094"/>
          <c:h val="6.428616422947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Cleaner Scrap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'Cleaner Scrap'!$A$6:$A$7</c:f>
              <c:strCache>
                <c:ptCount val="1"/>
                <c:pt idx="0">
                  <c:v>Actual Scrap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'Cleaner Scrap'!$C$3:$X$3</c:f>
              <c:numCache>
                <c:formatCode>[$-409]mmm\-yy;@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46055</c:v>
                </c:pt>
                <c:pt idx="14">
                  <c:v>46087</c:v>
                </c:pt>
                <c:pt idx="15">
                  <c:v>46119</c:v>
                </c:pt>
                <c:pt idx="16">
                  <c:v>46151</c:v>
                </c:pt>
                <c:pt idx="17">
                  <c:v>46183</c:v>
                </c:pt>
                <c:pt idx="18">
                  <c:v>46215</c:v>
                </c:pt>
                <c:pt idx="19">
                  <c:v>46247</c:v>
                </c:pt>
                <c:pt idx="20">
                  <c:v>46279</c:v>
                </c:pt>
                <c:pt idx="21">
                  <c:v>46311</c:v>
                </c:pt>
              </c:numCache>
            </c:numRef>
          </c:cat>
          <c:val>
            <c:numRef>
              <c:f>'Cleaner Scrap'!$C$6:$X$6</c:f>
              <c:numCache>
                <c:formatCode>General</c:formatCode>
                <c:ptCount val="22"/>
                <c:pt idx="0">
                  <c:v>938</c:v>
                </c:pt>
                <c:pt idx="1">
                  <c:v>3750</c:v>
                </c:pt>
                <c:pt idx="2">
                  <c:v>1565</c:v>
                </c:pt>
                <c:pt idx="3">
                  <c:v>1375</c:v>
                </c:pt>
                <c:pt idx="4">
                  <c:v>1565</c:v>
                </c:pt>
                <c:pt idx="5">
                  <c:v>1562</c:v>
                </c:pt>
                <c:pt idx="6">
                  <c:v>1565</c:v>
                </c:pt>
                <c:pt idx="7">
                  <c:v>630</c:v>
                </c:pt>
                <c:pt idx="8">
                  <c:v>938</c:v>
                </c:pt>
                <c:pt idx="9">
                  <c:v>350</c:v>
                </c:pt>
                <c:pt idx="10">
                  <c:v>315</c:v>
                </c:pt>
                <c:pt idx="11">
                  <c:v>315</c:v>
                </c:pt>
                <c:pt idx="12">
                  <c:v>630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345</c:v>
                </c:pt>
                <c:pt idx="17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7-40C7-A9F8-EE2CEEC1FE21}"/>
            </c:ext>
          </c:extLst>
        </c:ser>
        <c:ser>
          <c:idx val="1"/>
          <c:order val="1"/>
          <c:tx>
            <c:strRef>
              <c:f>'Cleaner Scrap'!$A$4:$A$5</c:f>
              <c:strCache>
                <c:ptCount val="1"/>
                <c:pt idx="0">
                  <c:v>Cleaner Requirements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'Cleaner Scrap'!$C$4:$X$4</c:f>
              <c:numCache>
                <c:formatCode>General</c:formatCode>
                <c:ptCount val="22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1800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7-40C7-A9F8-EE2CEEC1F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374256"/>
        <c:axId val="1293381936"/>
      </c:lineChart>
      <c:dateAx>
        <c:axId val="129337425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81936"/>
        <c:crosses val="autoZero"/>
        <c:auto val="1"/>
        <c:lblOffset val="100"/>
        <c:baseTimeUnit val="months"/>
      </c:dateAx>
      <c:valAx>
        <c:axId val="12933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7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04568940101097E-2"/>
          <c:y val="0.12567049638247041"/>
          <c:w val="0.88599231724512795"/>
          <c:h val="0.6682783289027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SM Actual (2)'!$B$2</c:f>
              <c:strCache>
                <c:ptCount val="1"/>
                <c:pt idx="0">
                  <c:v>UNDER 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SM Actual (2)'!$A$3:$A$58</c:f>
              <c:numCache>
                <c:formatCode>m/d/yyyy</c:formatCode>
                <c:ptCount val="56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46244</c:v>
                </c:pt>
                <c:pt idx="40">
                  <c:v>46245</c:v>
                </c:pt>
                <c:pt idx="41">
                  <c:v>46246</c:v>
                </c:pt>
                <c:pt idx="42">
                  <c:v>46247</c:v>
                </c:pt>
                <c:pt idx="43">
                  <c:v>46248</c:v>
                </c:pt>
                <c:pt idx="44">
                  <c:v>46249</c:v>
                </c:pt>
                <c:pt idx="45">
                  <c:v>46252</c:v>
                </c:pt>
                <c:pt idx="46">
                  <c:v>46253</c:v>
                </c:pt>
                <c:pt idx="47">
                  <c:v>46254</c:v>
                </c:pt>
                <c:pt idx="48">
                  <c:v>46255</c:v>
                </c:pt>
                <c:pt idx="49">
                  <c:v>46256</c:v>
                </c:pt>
                <c:pt idx="50">
                  <c:v>46260</c:v>
                </c:pt>
                <c:pt idx="51">
                  <c:v>46261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</c:numCache>
            </c:numRef>
          </c:cat>
          <c:val>
            <c:numRef>
              <c:f>'Summary SM Actual (2)'!$B$3:$B$58</c:f>
              <c:numCache>
                <c:formatCode>General</c:formatCode>
                <c:ptCount val="56"/>
                <c:pt idx="0">
                  <c:v>61</c:v>
                </c:pt>
                <c:pt idx="1">
                  <c:v>59</c:v>
                </c:pt>
                <c:pt idx="2">
                  <c:v>55</c:v>
                </c:pt>
                <c:pt idx="3">
                  <c:v>76</c:v>
                </c:pt>
                <c:pt idx="4">
                  <c:v>71</c:v>
                </c:pt>
                <c:pt idx="5">
                  <c:v>68</c:v>
                </c:pt>
                <c:pt idx="6">
                  <c:v>39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36</c:v>
                </c:pt>
                <c:pt idx="11">
                  <c:v>32</c:v>
                </c:pt>
                <c:pt idx="12">
                  <c:v>27</c:v>
                </c:pt>
                <c:pt idx="13">
                  <c:v>24</c:v>
                </c:pt>
                <c:pt idx="14">
                  <c:v>23</c:v>
                </c:pt>
                <c:pt idx="15">
                  <c:v>21</c:v>
                </c:pt>
                <c:pt idx="16">
                  <c:v>21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19</c:v>
                </c:pt>
                <c:pt idx="22">
                  <c:v>19</c:v>
                </c:pt>
                <c:pt idx="23">
                  <c:v>16</c:v>
                </c:pt>
                <c:pt idx="24">
                  <c:v>14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F77-8252-45F188E78C1F}"/>
            </c:ext>
          </c:extLst>
        </c:ser>
        <c:ser>
          <c:idx val="1"/>
          <c:order val="1"/>
          <c:tx>
            <c:strRef>
              <c:f>'Summary SM Actual (2)'!$C$2</c:f>
              <c:strCache>
                <c:ptCount val="1"/>
                <c:pt idx="0">
                  <c:v>FINAL REVIEW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'Summary SM Actual (2)'!$A$3:$A$58</c:f>
              <c:numCache>
                <c:formatCode>m/d/yyyy</c:formatCode>
                <c:ptCount val="56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46244</c:v>
                </c:pt>
                <c:pt idx="40">
                  <c:v>46245</c:v>
                </c:pt>
                <c:pt idx="41">
                  <c:v>46246</c:v>
                </c:pt>
                <c:pt idx="42">
                  <c:v>46247</c:v>
                </c:pt>
                <c:pt idx="43">
                  <c:v>46248</c:v>
                </c:pt>
                <c:pt idx="44">
                  <c:v>46249</c:v>
                </c:pt>
                <c:pt idx="45">
                  <c:v>46252</c:v>
                </c:pt>
                <c:pt idx="46">
                  <c:v>46253</c:v>
                </c:pt>
                <c:pt idx="47">
                  <c:v>46254</c:v>
                </c:pt>
                <c:pt idx="48">
                  <c:v>46255</c:v>
                </c:pt>
                <c:pt idx="49">
                  <c:v>46256</c:v>
                </c:pt>
                <c:pt idx="50">
                  <c:v>46260</c:v>
                </c:pt>
                <c:pt idx="51">
                  <c:v>46261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</c:numCache>
            </c:numRef>
          </c:cat>
          <c:val>
            <c:numRef>
              <c:f>'Summary SM Actual (2)'!$C$3:$C$58</c:f>
              <c:numCache>
                <c:formatCode>General</c:formatCode>
                <c:ptCount val="56"/>
                <c:pt idx="0">
                  <c:v>88</c:v>
                </c:pt>
                <c:pt idx="1">
                  <c:v>88</c:v>
                </c:pt>
                <c:pt idx="2">
                  <c:v>84</c:v>
                </c:pt>
                <c:pt idx="3">
                  <c:v>59</c:v>
                </c:pt>
                <c:pt idx="4">
                  <c:v>58</c:v>
                </c:pt>
                <c:pt idx="5">
                  <c:v>58</c:v>
                </c:pt>
                <c:pt idx="6">
                  <c:v>51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49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43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41</c:v>
                </c:pt>
                <c:pt idx="20">
                  <c:v>40</c:v>
                </c:pt>
                <c:pt idx="21">
                  <c:v>40</c:v>
                </c:pt>
                <c:pt idx="22">
                  <c:v>39</c:v>
                </c:pt>
                <c:pt idx="23">
                  <c:v>37</c:v>
                </c:pt>
                <c:pt idx="24">
                  <c:v>35</c:v>
                </c:pt>
                <c:pt idx="25">
                  <c:v>33</c:v>
                </c:pt>
                <c:pt idx="26">
                  <c:v>44</c:v>
                </c:pt>
                <c:pt idx="27">
                  <c:v>43</c:v>
                </c:pt>
                <c:pt idx="28">
                  <c:v>42</c:v>
                </c:pt>
                <c:pt idx="29">
                  <c:v>41</c:v>
                </c:pt>
                <c:pt idx="30" formatCode="0">
                  <c:v>40</c:v>
                </c:pt>
                <c:pt idx="31" formatCode="0">
                  <c:v>39</c:v>
                </c:pt>
                <c:pt idx="32" formatCode="0">
                  <c:v>37</c:v>
                </c:pt>
                <c:pt idx="33" formatCode="0">
                  <c:v>35</c:v>
                </c:pt>
                <c:pt idx="34" formatCode="0">
                  <c:v>34</c:v>
                </c:pt>
                <c:pt idx="35" formatCode="0">
                  <c:v>34</c:v>
                </c:pt>
                <c:pt idx="36" formatCode="0">
                  <c:v>35</c:v>
                </c:pt>
                <c:pt idx="37" formatCode="0">
                  <c:v>35</c:v>
                </c:pt>
                <c:pt idx="38" formatCode="0">
                  <c:v>29</c:v>
                </c:pt>
                <c:pt idx="39" formatCode="0">
                  <c:v>29</c:v>
                </c:pt>
                <c:pt idx="40" formatCode="0">
                  <c:v>29</c:v>
                </c:pt>
                <c:pt idx="41" formatCode="0">
                  <c:v>29</c:v>
                </c:pt>
                <c:pt idx="42" formatCode="0">
                  <c:v>29</c:v>
                </c:pt>
                <c:pt idx="43" formatCode="0">
                  <c:v>29</c:v>
                </c:pt>
                <c:pt idx="44" formatCode="0">
                  <c:v>29</c:v>
                </c:pt>
                <c:pt idx="45" formatCode="0">
                  <c:v>29</c:v>
                </c:pt>
                <c:pt idx="46" formatCode="0">
                  <c:v>29</c:v>
                </c:pt>
                <c:pt idx="47" formatCode="0">
                  <c:v>29</c:v>
                </c:pt>
                <c:pt idx="48" formatCode="0">
                  <c:v>29</c:v>
                </c:pt>
                <c:pt idx="49" formatCode="0">
                  <c:v>29</c:v>
                </c:pt>
                <c:pt idx="50" formatCode="0">
                  <c:v>29</c:v>
                </c:pt>
                <c:pt idx="51" formatCode="0">
                  <c:v>29</c:v>
                </c:pt>
                <c:pt idx="52" formatCode="0">
                  <c:v>29</c:v>
                </c:pt>
                <c:pt idx="53" formatCode="0">
                  <c:v>29</c:v>
                </c:pt>
                <c:pt idx="54" formatCode="0">
                  <c:v>29</c:v>
                </c:pt>
                <c:pt idx="55" formatCode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1-4F77-8252-45F188E78C1F}"/>
            </c:ext>
          </c:extLst>
        </c:ser>
        <c:ser>
          <c:idx val="2"/>
          <c:order val="2"/>
          <c:tx>
            <c:strRef>
              <c:f>'Summary SM Actual (2)'!$D$2</c:f>
              <c:strCache>
                <c:ptCount val="1"/>
                <c:pt idx="0">
                  <c:v>CLEANER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'Summary SM Actual (2)'!$A$3:$A$58</c:f>
              <c:numCache>
                <c:formatCode>m/d/yyyy</c:formatCode>
                <c:ptCount val="56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46244</c:v>
                </c:pt>
                <c:pt idx="40">
                  <c:v>46245</c:v>
                </c:pt>
                <c:pt idx="41">
                  <c:v>46246</c:v>
                </c:pt>
                <c:pt idx="42">
                  <c:v>46247</c:v>
                </c:pt>
                <c:pt idx="43">
                  <c:v>46248</c:v>
                </c:pt>
                <c:pt idx="44">
                  <c:v>46249</c:v>
                </c:pt>
                <c:pt idx="45">
                  <c:v>46252</c:v>
                </c:pt>
                <c:pt idx="46">
                  <c:v>46253</c:v>
                </c:pt>
                <c:pt idx="47">
                  <c:v>46254</c:v>
                </c:pt>
                <c:pt idx="48">
                  <c:v>46255</c:v>
                </c:pt>
                <c:pt idx="49">
                  <c:v>46256</c:v>
                </c:pt>
                <c:pt idx="50">
                  <c:v>46260</c:v>
                </c:pt>
                <c:pt idx="51">
                  <c:v>46261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</c:numCache>
            </c:numRef>
          </c:cat>
          <c:val>
            <c:numRef>
              <c:f>'Summary SM Actual (2)'!$D$3:$D$58</c:f>
              <c:numCache>
                <c:formatCode>General</c:formatCode>
                <c:ptCount val="56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43</c:v>
                </c:pt>
                <c:pt idx="30">
                  <c:v>43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1-4F77-8252-45F188E78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225567"/>
        <c:axId val="1278224127"/>
      </c:barChart>
      <c:lineChart>
        <c:grouping val="standard"/>
        <c:varyColors val="0"/>
        <c:ser>
          <c:idx val="3"/>
          <c:order val="3"/>
          <c:tx>
            <c:strRef>
              <c:f>'Summary SM Actual (2)'!$F$2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8D-4340-817D-F150F4FAD2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8D-4340-817D-F150F4FAD2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8D-4340-817D-F150F4FAD2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8D-4340-817D-F150F4FAD28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8D-4340-817D-F150F4FAD28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8D-4340-817D-F150F4FAD28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8D-4340-817D-F150F4FAD28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8D-4340-817D-F150F4FAD28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8D-4340-817D-F150F4FAD28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8D-4340-817D-F150F4FAD28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0-4D15-B67B-C8FB0C6C9D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40-4D15-B67B-C8FB0C6C9D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AA-452C-BF35-9B691B0A3B2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EF-4CAC-AA7A-C32744F0EED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EF-4CAC-AA7A-C32744F0EED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EF-4CAC-AA7A-C32744F0EED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EF-4CAC-AA7A-C32744F0EED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EF-4CAC-AA7A-C32744F0EED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8E-49CB-8A50-E0DF1FE9F0E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8E-49CB-8A50-E0DF1FE9F0E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8E-49CB-8A50-E0DF1FE9F0E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9B-465C-97E9-32CB987C6E6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9B-465C-97E9-32CB987C6E6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9B-465C-97E9-32CB987C6E6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9B-465C-97E9-32CB987C6E6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1D-4D76-82D3-C1C0883A178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1D-4D76-82D3-C1C0883A178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1D-4D76-82D3-C1C0883A178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1D-4D76-82D3-C1C0883A178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0C-46DC-BF3B-C38CFF0C88F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0C-46DC-BF3B-C38CFF0C88F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0C-46DC-BF3B-C38CFF0C88F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0C-46DC-BF3B-C38CFF0C88F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D-4B6A-B2E2-32BA6EAB10BF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D-4B6A-B2E2-32BA6EAB10B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8D-441B-984A-E3B9467477BD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8D-441B-984A-E3B9467477BD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8D-441B-984A-E3B9467477BD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8D-441B-984A-E3B9467477BD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8D-441B-984A-E3B9467477BD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8D-441B-984A-E3B9467477BD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8D-441B-984A-E3B9467477BD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8D-441B-984A-E3B9467477BD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8D-441B-984A-E3B9467477BD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8D-441B-984A-E3B9467477BD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8D-441B-984A-E3B9467477BD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3B-45CB-8B8B-1CF7A2359D5F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3B-45CB-8B8B-1CF7A2359D5F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50-4E05-B63C-93C0D551A7D8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E0-4E83-AFDA-5F15BB540342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9-499B-A7AE-E81F7211224D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2C-4C53-ADF6-D912EE74A67F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2C-4C53-ADF6-D912EE74A67F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AC-439B-94E7-D830B8D255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SM Actual (2)'!$A$3:$A$57</c:f>
              <c:numCache>
                <c:formatCode>m/d/yyyy</c:formatCode>
                <c:ptCount val="55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46209</c:v>
                </c:pt>
                <c:pt idx="13">
                  <c:v>46210</c:v>
                </c:pt>
                <c:pt idx="14">
                  <c:v>46211</c:v>
                </c:pt>
                <c:pt idx="15">
                  <c:v>46212</c:v>
                </c:pt>
                <c:pt idx="16">
                  <c:v>46213</c:v>
                </c:pt>
                <c:pt idx="17">
                  <c:v>46214</c:v>
                </c:pt>
                <c:pt idx="18">
                  <c:v>46216</c:v>
                </c:pt>
                <c:pt idx="19">
                  <c:v>46217</c:v>
                </c:pt>
                <c:pt idx="20">
                  <c:v>46218</c:v>
                </c:pt>
                <c:pt idx="21">
                  <c:v>46219</c:v>
                </c:pt>
                <c:pt idx="22">
                  <c:v>46220</c:v>
                </c:pt>
                <c:pt idx="23">
                  <c:v>46221</c:v>
                </c:pt>
                <c:pt idx="24">
                  <c:v>46223</c:v>
                </c:pt>
                <c:pt idx="25">
                  <c:v>46224</c:v>
                </c:pt>
                <c:pt idx="26">
                  <c:v>46225</c:v>
                </c:pt>
                <c:pt idx="27">
                  <c:v>46226</c:v>
                </c:pt>
                <c:pt idx="28">
                  <c:v>46227</c:v>
                </c:pt>
                <c:pt idx="29">
                  <c:v>46228</c:v>
                </c:pt>
                <c:pt idx="30">
                  <c:v>46230</c:v>
                </c:pt>
                <c:pt idx="31">
                  <c:v>46231</c:v>
                </c:pt>
                <c:pt idx="32">
                  <c:v>46232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46244</c:v>
                </c:pt>
                <c:pt idx="40">
                  <c:v>46245</c:v>
                </c:pt>
                <c:pt idx="41">
                  <c:v>46246</c:v>
                </c:pt>
                <c:pt idx="42">
                  <c:v>46247</c:v>
                </c:pt>
                <c:pt idx="43">
                  <c:v>46248</c:v>
                </c:pt>
                <c:pt idx="44">
                  <c:v>46249</c:v>
                </c:pt>
                <c:pt idx="45">
                  <c:v>46252</c:v>
                </c:pt>
                <c:pt idx="46">
                  <c:v>46253</c:v>
                </c:pt>
                <c:pt idx="47">
                  <c:v>46254</c:v>
                </c:pt>
                <c:pt idx="48">
                  <c:v>46255</c:v>
                </c:pt>
                <c:pt idx="49">
                  <c:v>46256</c:v>
                </c:pt>
                <c:pt idx="50">
                  <c:v>46260</c:v>
                </c:pt>
                <c:pt idx="51">
                  <c:v>46261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'Summary SM Actual (2)'!$F$3:$F$58</c:f>
              <c:numCache>
                <c:formatCode>General</c:formatCode>
                <c:ptCount val="56"/>
                <c:pt idx="0">
                  <c:v>197</c:v>
                </c:pt>
                <c:pt idx="1">
                  <c:v>195</c:v>
                </c:pt>
                <c:pt idx="2">
                  <c:v>188</c:v>
                </c:pt>
                <c:pt idx="3">
                  <c:v>183</c:v>
                </c:pt>
                <c:pt idx="4">
                  <c:v>177</c:v>
                </c:pt>
                <c:pt idx="5">
                  <c:v>174</c:v>
                </c:pt>
                <c:pt idx="6">
                  <c:v>140</c:v>
                </c:pt>
                <c:pt idx="7">
                  <c:v>134</c:v>
                </c:pt>
                <c:pt idx="8">
                  <c:v>132</c:v>
                </c:pt>
                <c:pt idx="9">
                  <c:v>132</c:v>
                </c:pt>
                <c:pt idx="10">
                  <c:v>130</c:v>
                </c:pt>
                <c:pt idx="11">
                  <c:v>123</c:v>
                </c:pt>
                <c:pt idx="12">
                  <c:v>118</c:v>
                </c:pt>
                <c:pt idx="13">
                  <c:v>115</c:v>
                </c:pt>
                <c:pt idx="14">
                  <c:v>111</c:v>
                </c:pt>
                <c:pt idx="15">
                  <c:v>109</c:v>
                </c:pt>
                <c:pt idx="16">
                  <c:v>108</c:v>
                </c:pt>
                <c:pt idx="17">
                  <c:v>107</c:v>
                </c:pt>
                <c:pt idx="18">
                  <c:v>107</c:v>
                </c:pt>
                <c:pt idx="19">
                  <c:v>106</c:v>
                </c:pt>
                <c:pt idx="20">
                  <c:v>105</c:v>
                </c:pt>
                <c:pt idx="21">
                  <c:v>104</c:v>
                </c:pt>
                <c:pt idx="22">
                  <c:v>103</c:v>
                </c:pt>
                <c:pt idx="23">
                  <c:v>98</c:v>
                </c:pt>
                <c:pt idx="24" formatCode="0">
                  <c:v>94</c:v>
                </c:pt>
                <c:pt idx="25" formatCode="0">
                  <c:v>84</c:v>
                </c:pt>
                <c:pt idx="26" formatCode="0">
                  <c:v>89</c:v>
                </c:pt>
                <c:pt idx="27" formatCode="0">
                  <c:v>88</c:v>
                </c:pt>
                <c:pt idx="28" formatCode="0">
                  <c:v>87</c:v>
                </c:pt>
                <c:pt idx="29" formatCode="0">
                  <c:v>84</c:v>
                </c:pt>
                <c:pt idx="30" formatCode="0">
                  <c:v>83</c:v>
                </c:pt>
                <c:pt idx="31" formatCode="0">
                  <c:v>78</c:v>
                </c:pt>
                <c:pt idx="32" formatCode="0">
                  <c:v>76</c:v>
                </c:pt>
                <c:pt idx="33" formatCode="0">
                  <c:v>74</c:v>
                </c:pt>
                <c:pt idx="34" formatCode="0">
                  <c:v>73</c:v>
                </c:pt>
                <c:pt idx="35" formatCode="0">
                  <c:v>73</c:v>
                </c:pt>
                <c:pt idx="36" formatCode="0">
                  <c:v>74</c:v>
                </c:pt>
                <c:pt idx="37" formatCode="0">
                  <c:v>74</c:v>
                </c:pt>
                <c:pt idx="38" formatCode="0">
                  <c:v>68</c:v>
                </c:pt>
                <c:pt idx="39" formatCode="0">
                  <c:v>68</c:v>
                </c:pt>
                <c:pt idx="40" formatCode="0">
                  <c:v>68</c:v>
                </c:pt>
                <c:pt idx="41" formatCode="0">
                  <c:v>68</c:v>
                </c:pt>
                <c:pt idx="42" formatCode="0">
                  <c:v>68</c:v>
                </c:pt>
                <c:pt idx="43" formatCode="0">
                  <c:v>68</c:v>
                </c:pt>
                <c:pt idx="44" formatCode="0">
                  <c:v>68</c:v>
                </c:pt>
                <c:pt idx="45" formatCode="0">
                  <c:v>68</c:v>
                </c:pt>
                <c:pt idx="46" formatCode="0">
                  <c:v>68</c:v>
                </c:pt>
                <c:pt idx="47" formatCode="0">
                  <c:v>68</c:v>
                </c:pt>
                <c:pt idx="48" formatCode="0">
                  <c:v>68</c:v>
                </c:pt>
                <c:pt idx="49" formatCode="0">
                  <c:v>68</c:v>
                </c:pt>
                <c:pt idx="50" formatCode="0">
                  <c:v>68</c:v>
                </c:pt>
                <c:pt idx="51" formatCode="0">
                  <c:v>68</c:v>
                </c:pt>
                <c:pt idx="52" formatCode="0">
                  <c:v>68</c:v>
                </c:pt>
                <c:pt idx="53" formatCode="0">
                  <c:v>68</c:v>
                </c:pt>
                <c:pt idx="54" formatCode="0">
                  <c:v>68</c:v>
                </c:pt>
                <c:pt idx="55" formatCode="0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D1-4F77-8252-45F188E78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139808"/>
        <c:axId val="1634126848"/>
      </c:lineChart>
      <c:catAx>
        <c:axId val="1278225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4127"/>
        <c:crosses val="autoZero"/>
        <c:auto val="0"/>
        <c:lblAlgn val="ctr"/>
        <c:lblOffset val="100"/>
        <c:noMultiLvlLbl val="1"/>
      </c:catAx>
      <c:valAx>
        <c:axId val="12782241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5567"/>
        <c:crosses val="autoZero"/>
        <c:crossBetween val="between"/>
        <c:majorUnit val="20"/>
      </c:valAx>
      <c:valAx>
        <c:axId val="1634126848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39808"/>
        <c:crosses val="max"/>
        <c:crossBetween val="between"/>
      </c:valAx>
      <c:dateAx>
        <c:axId val="16341398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341268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69743126371497"/>
          <c:y val="0.93571383577052869"/>
          <c:w val="0.66460486294881094"/>
          <c:h val="6.428616422947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SLOW MOVING COMPOUND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04568940101097E-2"/>
          <c:y val="0.12567049638247041"/>
          <c:w val="0.88599231724512795"/>
          <c:h val="0.6682783289027211"/>
        </c:manualLayout>
      </c:layout>
      <c:lineChart>
        <c:grouping val="standard"/>
        <c:varyColors val="0"/>
        <c:ser>
          <c:idx val="3"/>
          <c:order val="0"/>
          <c:tx>
            <c:v>SKIDS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90-4CF5-ACD7-703A94096D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90-4CF5-ACD7-703A94096DA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90-4CF5-ACD7-703A94096DA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90-4CF5-ACD7-703A94096DA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90-4CF5-ACD7-703A94096DA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90-4CF5-ACD7-703A94096DA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90-4CF5-ACD7-703A94096DA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90-4CF5-ACD7-703A94096DA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90-4CF5-ACD7-703A94096DA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90-4CF5-ACD7-703A94096DA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90-4CF5-ACD7-703A94096DA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90-4CF5-ACD7-703A94096DA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90-4CF5-ACD7-703A94096DA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D90-4CF5-ACD7-703A94096DA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D90-4CF5-ACD7-703A94096DA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D90-4CF5-ACD7-703A94096DA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D90-4CF5-ACD7-703A94096DA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D90-4CF5-ACD7-703A94096DA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D90-4CF5-ACD7-703A94096DA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90-4CF5-ACD7-703A94096DA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90-4CF5-ACD7-703A94096DA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90-4CF5-ACD7-703A94096DA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90-4CF5-ACD7-703A94096DA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90-4CF5-ACD7-703A94096DA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D90-4CF5-ACD7-703A94096DA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90-4CF5-ACD7-703A94096DA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90-4CF5-ACD7-703A94096DA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90-4CF5-ACD7-703A94096DA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90-4CF5-ACD7-703A94096DA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90-4CF5-ACD7-703A94096DA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D90-4CF5-ACD7-703A94096DA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D90-4CF5-ACD7-703A94096DA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D90-4CF5-ACD7-703A94096DA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90-4CF5-ACD7-703A94096DA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D90-4CF5-ACD7-703A94096DA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90-4CF5-ACD7-703A94096DA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90-4CF5-ACD7-703A94096DA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90-4CF5-ACD7-703A94096DA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90-4CF5-ACD7-703A94096DA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90-4CF5-ACD7-703A94096DA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90-4CF5-ACD7-703A94096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SM Actual (2)'!$A$11:$A$53</c:f>
              <c:numCache>
                <c:formatCode>m/d/yyyy</c:formatCode>
                <c:ptCount val="43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46237</c:v>
                </c:pt>
                <c:pt idx="26">
                  <c:v>46238</c:v>
                </c:pt>
                <c:pt idx="27">
                  <c:v>46239</c:v>
                </c:pt>
                <c:pt idx="28">
                  <c:v>46240</c:v>
                </c:pt>
                <c:pt idx="29">
                  <c:v>46241</c:v>
                </c:pt>
                <c:pt idx="30">
                  <c:v>46242</c:v>
                </c:pt>
                <c:pt idx="31">
                  <c:v>46244</c:v>
                </c:pt>
                <c:pt idx="32">
                  <c:v>46245</c:v>
                </c:pt>
                <c:pt idx="33">
                  <c:v>46246</c:v>
                </c:pt>
                <c:pt idx="34">
                  <c:v>46247</c:v>
                </c:pt>
                <c:pt idx="35">
                  <c:v>46248</c:v>
                </c:pt>
                <c:pt idx="36">
                  <c:v>46249</c:v>
                </c:pt>
                <c:pt idx="37">
                  <c:v>46252</c:v>
                </c:pt>
                <c:pt idx="38">
                  <c:v>46253</c:v>
                </c:pt>
                <c:pt idx="39">
                  <c:v>46254</c:v>
                </c:pt>
                <c:pt idx="40">
                  <c:v>46255</c:v>
                </c:pt>
                <c:pt idx="41">
                  <c:v>46256</c:v>
                </c:pt>
                <c:pt idx="42">
                  <c:v>46260</c:v>
                </c:pt>
              </c:numCache>
            </c:numRef>
          </c:cat>
          <c:val>
            <c:numRef>
              <c:f>'Summary SM Actual (2)'!$F$11:$F$53</c:f>
              <c:numCache>
                <c:formatCode>General</c:formatCode>
                <c:ptCount val="43"/>
                <c:pt idx="0">
                  <c:v>132</c:v>
                </c:pt>
                <c:pt idx="1">
                  <c:v>132</c:v>
                </c:pt>
                <c:pt idx="2">
                  <c:v>130</c:v>
                </c:pt>
                <c:pt idx="3">
                  <c:v>123</c:v>
                </c:pt>
                <c:pt idx="4">
                  <c:v>118</c:v>
                </c:pt>
                <c:pt idx="5">
                  <c:v>115</c:v>
                </c:pt>
                <c:pt idx="6">
                  <c:v>111</c:v>
                </c:pt>
                <c:pt idx="7">
                  <c:v>109</c:v>
                </c:pt>
                <c:pt idx="8">
                  <c:v>108</c:v>
                </c:pt>
                <c:pt idx="9">
                  <c:v>107</c:v>
                </c:pt>
                <c:pt idx="10">
                  <c:v>107</c:v>
                </c:pt>
                <c:pt idx="11">
                  <c:v>106</c:v>
                </c:pt>
                <c:pt idx="12">
                  <c:v>105</c:v>
                </c:pt>
                <c:pt idx="13">
                  <c:v>104</c:v>
                </c:pt>
                <c:pt idx="14">
                  <c:v>103</c:v>
                </c:pt>
                <c:pt idx="15">
                  <c:v>98</c:v>
                </c:pt>
                <c:pt idx="16" formatCode="0">
                  <c:v>94</c:v>
                </c:pt>
                <c:pt idx="17" formatCode="0">
                  <c:v>84</c:v>
                </c:pt>
                <c:pt idx="18" formatCode="0">
                  <c:v>89</c:v>
                </c:pt>
                <c:pt idx="19" formatCode="0">
                  <c:v>88</c:v>
                </c:pt>
                <c:pt idx="20" formatCode="0">
                  <c:v>87</c:v>
                </c:pt>
                <c:pt idx="21" formatCode="0">
                  <c:v>84</c:v>
                </c:pt>
                <c:pt idx="22" formatCode="0">
                  <c:v>83</c:v>
                </c:pt>
                <c:pt idx="23" formatCode="0">
                  <c:v>78</c:v>
                </c:pt>
                <c:pt idx="24" formatCode="0">
                  <c:v>76</c:v>
                </c:pt>
                <c:pt idx="25" formatCode="0">
                  <c:v>74</c:v>
                </c:pt>
                <c:pt idx="26" formatCode="0">
                  <c:v>73</c:v>
                </c:pt>
                <c:pt idx="27" formatCode="0">
                  <c:v>73</c:v>
                </c:pt>
                <c:pt idx="28" formatCode="0">
                  <c:v>74</c:v>
                </c:pt>
                <c:pt idx="29" formatCode="0">
                  <c:v>74</c:v>
                </c:pt>
                <c:pt idx="30" formatCode="0">
                  <c:v>68</c:v>
                </c:pt>
                <c:pt idx="31" formatCode="0">
                  <c:v>68</c:v>
                </c:pt>
                <c:pt idx="32" formatCode="0">
                  <c:v>68</c:v>
                </c:pt>
                <c:pt idx="33" formatCode="0">
                  <c:v>68</c:v>
                </c:pt>
                <c:pt idx="34" formatCode="0">
                  <c:v>68</c:v>
                </c:pt>
                <c:pt idx="35" formatCode="0">
                  <c:v>68</c:v>
                </c:pt>
                <c:pt idx="36" formatCode="0">
                  <c:v>68</c:v>
                </c:pt>
                <c:pt idx="37" formatCode="0">
                  <c:v>68</c:v>
                </c:pt>
                <c:pt idx="38" formatCode="0">
                  <c:v>68</c:v>
                </c:pt>
                <c:pt idx="39" formatCode="0">
                  <c:v>68</c:v>
                </c:pt>
                <c:pt idx="40" formatCode="0">
                  <c:v>68</c:v>
                </c:pt>
                <c:pt idx="41" formatCode="0">
                  <c:v>68</c:v>
                </c:pt>
                <c:pt idx="42" formatCode="0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D90-4CF5-ACD7-703A94096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225567"/>
        <c:axId val="1278224127"/>
      </c:lineChart>
      <c:catAx>
        <c:axId val="1278225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4127"/>
        <c:crosses val="autoZero"/>
        <c:auto val="0"/>
        <c:lblAlgn val="ctr"/>
        <c:lblOffset val="100"/>
        <c:noMultiLvlLbl val="1"/>
      </c:catAx>
      <c:valAx>
        <c:axId val="1278224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5567"/>
        <c:crosses val="autoZero"/>
        <c:crossBetween val="between"/>
        <c:majorUnit val="40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6769743126371497"/>
          <c:y val="0.93571383577052869"/>
          <c:w val="0.66460486294881094"/>
          <c:h val="6.428616422947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Slow  moving Compound.xlsx]Pivot New-creation!PivotTable5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611535233222753E-2"/>
          <c:y val="0.2390480351368437"/>
          <c:w val="0.7616769588446114"/>
          <c:h val="0.482548414109018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New-creation'!$B$3:$B$4</c:f>
              <c:strCache>
                <c:ptCount val="1"/>
                <c:pt idx="0">
                  <c:v>Lumpy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New-creation'!$A$5:$A$34</c:f>
              <c:strCache>
                <c:ptCount val="29"/>
                <c:pt idx="0">
                  <c:v>7/4/2026</c:v>
                </c:pt>
                <c:pt idx="1">
                  <c:v>7/6/2026</c:v>
                </c:pt>
                <c:pt idx="2">
                  <c:v>7/7/2026</c:v>
                </c:pt>
                <c:pt idx="3">
                  <c:v>7/8/2026</c:v>
                </c:pt>
                <c:pt idx="4">
                  <c:v>7/9/2026</c:v>
                </c:pt>
                <c:pt idx="5">
                  <c:v>7/10/2026</c:v>
                </c:pt>
                <c:pt idx="6">
                  <c:v>7/11/2026</c:v>
                </c:pt>
                <c:pt idx="7">
                  <c:v>7/13/2026</c:v>
                </c:pt>
                <c:pt idx="8">
                  <c:v>7/14/2026</c:v>
                </c:pt>
                <c:pt idx="9">
                  <c:v>7/15/2026</c:v>
                </c:pt>
                <c:pt idx="10">
                  <c:v>7/16/2026</c:v>
                </c:pt>
                <c:pt idx="11">
                  <c:v>7/17/2026</c:v>
                </c:pt>
                <c:pt idx="12">
                  <c:v>7/18/2026</c:v>
                </c:pt>
                <c:pt idx="13">
                  <c:v>7/20/2026</c:v>
                </c:pt>
                <c:pt idx="14">
                  <c:v>7/21/2026</c:v>
                </c:pt>
                <c:pt idx="15">
                  <c:v>7/22/2026</c:v>
                </c:pt>
                <c:pt idx="16">
                  <c:v>7/23/2026</c:v>
                </c:pt>
                <c:pt idx="17">
                  <c:v>7/24/2026</c:v>
                </c:pt>
                <c:pt idx="18">
                  <c:v>7/25/2026</c:v>
                </c:pt>
                <c:pt idx="19">
                  <c:v>7/27/2026</c:v>
                </c:pt>
                <c:pt idx="20">
                  <c:v>7/29/2026</c:v>
                </c:pt>
                <c:pt idx="21">
                  <c:v>8/3/2026</c:v>
                </c:pt>
                <c:pt idx="22">
                  <c:v>8/5/2026</c:v>
                </c:pt>
                <c:pt idx="23">
                  <c:v>8/6/2026</c:v>
                </c:pt>
                <c:pt idx="24">
                  <c:v>8/7/2026</c:v>
                </c:pt>
                <c:pt idx="25">
                  <c:v>8/8/2026</c:v>
                </c:pt>
                <c:pt idx="26">
                  <c:v>8/10/2026</c:v>
                </c:pt>
                <c:pt idx="27">
                  <c:v>8/11/2026</c:v>
                </c:pt>
                <c:pt idx="28">
                  <c:v>8/12/2026</c:v>
                </c:pt>
              </c:strCache>
            </c:strRef>
          </c:cat>
          <c:val>
            <c:numRef>
              <c:f>'Pivot New-creation'!$B$5:$B$34</c:f>
              <c:numCache>
                <c:formatCode>General</c:formatCode>
                <c:ptCount val="2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  <c:pt idx="24">
                  <c:v>3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3-4509-B4E6-BE73840292A4}"/>
            </c:ext>
          </c:extLst>
        </c:ser>
        <c:ser>
          <c:idx val="1"/>
          <c:order val="1"/>
          <c:tx>
            <c:strRef>
              <c:f>'Pivot New-creation'!$C$3:$C$4</c:f>
              <c:strCache>
                <c:ptCount val="1"/>
                <c:pt idx="0">
                  <c:v>Sticky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New-creation'!$A$5:$A$34</c:f>
              <c:strCache>
                <c:ptCount val="29"/>
                <c:pt idx="0">
                  <c:v>7/4/2026</c:v>
                </c:pt>
                <c:pt idx="1">
                  <c:v>7/6/2026</c:v>
                </c:pt>
                <c:pt idx="2">
                  <c:v>7/7/2026</c:v>
                </c:pt>
                <c:pt idx="3">
                  <c:v>7/8/2026</c:v>
                </c:pt>
                <c:pt idx="4">
                  <c:v>7/9/2026</c:v>
                </c:pt>
                <c:pt idx="5">
                  <c:v>7/10/2026</c:v>
                </c:pt>
                <c:pt idx="6">
                  <c:v>7/11/2026</c:v>
                </c:pt>
                <c:pt idx="7">
                  <c:v>7/13/2026</c:v>
                </c:pt>
                <c:pt idx="8">
                  <c:v>7/14/2026</c:v>
                </c:pt>
                <c:pt idx="9">
                  <c:v>7/15/2026</c:v>
                </c:pt>
                <c:pt idx="10">
                  <c:v>7/16/2026</c:v>
                </c:pt>
                <c:pt idx="11">
                  <c:v>7/17/2026</c:v>
                </c:pt>
                <c:pt idx="12">
                  <c:v>7/18/2026</c:v>
                </c:pt>
                <c:pt idx="13">
                  <c:v>7/20/2026</c:v>
                </c:pt>
                <c:pt idx="14">
                  <c:v>7/21/2026</c:v>
                </c:pt>
                <c:pt idx="15">
                  <c:v>7/22/2026</c:v>
                </c:pt>
                <c:pt idx="16">
                  <c:v>7/23/2026</c:v>
                </c:pt>
                <c:pt idx="17">
                  <c:v>7/24/2026</c:v>
                </c:pt>
                <c:pt idx="18">
                  <c:v>7/25/2026</c:v>
                </c:pt>
                <c:pt idx="19">
                  <c:v>7/27/2026</c:v>
                </c:pt>
                <c:pt idx="20">
                  <c:v>7/29/2026</c:v>
                </c:pt>
                <c:pt idx="21">
                  <c:v>8/3/2026</c:v>
                </c:pt>
                <c:pt idx="22">
                  <c:v>8/5/2026</c:v>
                </c:pt>
                <c:pt idx="23">
                  <c:v>8/6/2026</c:v>
                </c:pt>
                <c:pt idx="24">
                  <c:v>8/7/2026</c:v>
                </c:pt>
                <c:pt idx="25">
                  <c:v>8/8/2026</c:v>
                </c:pt>
                <c:pt idx="26">
                  <c:v>8/10/2026</c:v>
                </c:pt>
                <c:pt idx="27">
                  <c:v>8/11/2026</c:v>
                </c:pt>
                <c:pt idx="28">
                  <c:v>8/12/2026</c:v>
                </c:pt>
              </c:strCache>
            </c:strRef>
          </c:cat>
          <c:val>
            <c:numRef>
              <c:f>'Pivot New-creation'!$C$5:$C$34</c:f>
              <c:numCache>
                <c:formatCode>General</c:formatCode>
                <c:ptCount val="29"/>
                <c:pt idx="0">
                  <c:v>1</c:v>
                </c:pt>
                <c:pt idx="1">
                  <c:v>6</c:v>
                </c:pt>
                <c:pt idx="3">
                  <c:v>1</c:v>
                </c:pt>
                <c:pt idx="4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2</c:v>
                </c:pt>
                <c:pt idx="9">
                  <c:v>11</c:v>
                </c:pt>
                <c:pt idx="10">
                  <c:v>4</c:v>
                </c:pt>
                <c:pt idx="11">
                  <c:v>1</c:v>
                </c:pt>
                <c:pt idx="12">
                  <c:v>8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11</c:v>
                </c:pt>
                <c:pt idx="26">
                  <c:v>4</c:v>
                </c:pt>
                <c:pt idx="27">
                  <c:v>5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3-4509-B4E6-BE738402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2089103"/>
        <c:axId val="422098223"/>
      </c:barChart>
      <c:catAx>
        <c:axId val="42208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98223"/>
        <c:crosses val="autoZero"/>
        <c:auto val="1"/>
        <c:lblAlgn val="ctr"/>
        <c:lblOffset val="100"/>
        <c:noMultiLvlLbl val="0"/>
      </c:catAx>
      <c:valAx>
        <c:axId val="42209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8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New-creation'!$T$1</c:f>
              <c:strCache>
                <c:ptCount val="1"/>
                <c:pt idx="0">
                  <c:v>Lumpy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'Pivot New-creation'!$S$2:$S$38</c:f>
              <c:numCache>
                <c:formatCode>m/d/yyyy</c:formatCode>
                <c:ptCount val="37"/>
                <c:pt idx="0">
                  <c:v>46207</c:v>
                </c:pt>
                <c:pt idx="1">
                  <c:v>46209</c:v>
                </c:pt>
                <c:pt idx="2">
                  <c:v>46210</c:v>
                </c:pt>
                <c:pt idx="3">
                  <c:v>46211</c:v>
                </c:pt>
                <c:pt idx="4">
                  <c:v>46212</c:v>
                </c:pt>
                <c:pt idx="5">
                  <c:v>46213</c:v>
                </c:pt>
                <c:pt idx="6">
                  <c:v>46214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46223</c:v>
                </c:pt>
                <c:pt idx="14">
                  <c:v>46224</c:v>
                </c:pt>
                <c:pt idx="15">
                  <c:v>46225</c:v>
                </c:pt>
                <c:pt idx="16">
                  <c:v>46226</c:v>
                </c:pt>
                <c:pt idx="17">
                  <c:v>46227</c:v>
                </c:pt>
                <c:pt idx="18">
                  <c:v>46228</c:v>
                </c:pt>
                <c:pt idx="19">
                  <c:v>46230</c:v>
                </c:pt>
                <c:pt idx="20">
                  <c:v>46232</c:v>
                </c:pt>
                <c:pt idx="21">
                  <c:v>46237</c:v>
                </c:pt>
                <c:pt idx="22">
                  <c:v>46239</c:v>
                </c:pt>
                <c:pt idx="23">
                  <c:v>46240</c:v>
                </c:pt>
                <c:pt idx="24">
                  <c:v>46241</c:v>
                </c:pt>
                <c:pt idx="25">
                  <c:v>46245</c:v>
                </c:pt>
                <c:pt idx="26">
                  <c:v>46246</c:v>
                </c:pt>
                <c:pt idx="27">
                  <c:v>46247</c:v>
                </c:pt>
                <c:pt idx="28">
                  <c:v>46248</c:v>
                </c:pt>
                <c:pt idx="29">
                  <c:v>46249</c:v>
                </c:pt>
                <c:pt idx="30">
                  <c:v>46253</c:v>
                </c:pt>
                <c:pt idx="31">
                  <c:v>46254</c:v>
                </c:pt>
                <c:pt idx="32">
                  <c:v>46255</c:v>
                </c:pt>
                <c:pt idx="33">
                  <c:v>46260</c:v>
                </c:pt>
                <c:pt idx="34">
                  <c:v>46266</c:v>
                </c:pt>
                <c:pt idx="35">
                  <c:v>46267</c:v>
                </c:pt>
                <c:pt idx="36">
                  <c:v>46268</c:v>
                </c:pt>
              </c:numCache>
            </c:numRef>
          </c:cat>
          <c:val>
            <c:numRef>
              <c:f>'Pivot New-creation'!$T$2:$T$38</c:f>
              <c:numCache>
                <c:formatCode>General</c:formatCode>
                <c:ptCount val="37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6-4507-9036-8155403CEB58}"/>
            </c:ext>
          </c:extLst>
        </c:ser>
        <c:ser>
          <c:idx val="1"/>
          <c:order val="1"/>
          <c:tx>
            <c:strRef>
              <c:f>'Pivot New-creation'!$U$1</c:f>
              <c:strCache>
                <c:ptCount val="1"/>
                <c:pt idx="0">
                  <c:v>Sticky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'Pivot New-creation'!$S$2:$S$38</c:f>
              <c:numCache>
                <c:formatCode>m/d/yyyy</c:formatCode>
                <c:ptCount val="37"/>
                <c:pt idx="0">
                  <c:v>46207</c:v>
                </c:pt>
                <c:pt idx="1">
                  <c:v>46209</c:v>
                </c:pt>
                <c:pt idx="2">
                  <c:v>46210</c:v>
                </c:pt>
                <c:pt idx="3">
                  <c:v>46211</c:v>
                </c:pt>
                <c:pt idx="4">
                  <c:v>46212</c:v>
                </c:pt>
                <c:pt idx="5">
                  <c:v>46213</c:v>
                </c:pt>
                <c:pt idx="6">
                  <c:v>46214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46223</c:v>
                </c:pt>
                <c:pt idx="14">
                  <c:v>46224</c:v>
                </c:pt>
                <c:pt idx="15">
                  <c:v>46225</c:v>
                </c:pt>
                <c:pt idx="16">
                  <c:v>46226</c:v>
                </c:pt>
                <c:pt idx="17">
                  <c:v>46227</c:v>
                </c:pt>
                <c:pt idx="18">
                  <c:v>46228</c:v>
                </c:pt>
                <c:pt idx="19">
                  <c:v>46230</c:v>
                </c:pt>
                <c:pt idx="20">
                  <c:v>46232</c:v>
                </c:pt>
                <c:pt idx="21">
                  <c:v>46237</c:v>
                </c:pt>
                <c:pt idx="22">
                  <c:v>46239</c:v>
                </c:pt>
                <c:pt idx="23">
                  <c:v>46240</c:v>
                </c:pt>
                <c:pt idx="24">
                  <c:v>46241</c:v>
                </c:pt>
                <c:pt idx="25">
                  <c:v>46245</c:v>
                </c:pt>
                <c:pt idx="26">
                  <c:v>46246</c:v>
                </c:pt>
                <c:pt idx="27">
                  <c:v>46247</c:v>
                </c:pt>
                <c:pt idx="28">
                  <c:v>46248</c:v>
                </c:pt>
                <c:pt idx="29">
                  <c:v>46249</c:v>
                </c:pt>
                <c:pt idx="30">
                  <c:v>46253</c:v>
                </c:pt>
                <c:pt idx="31">
                  <c:v>46254</c:v>
                </c:pt>
                <c:pt idx="32">
                  <c:v>46255</c:v>
                </c:pt>
                <c:pt idx="33">
                  <c:v>46260</c:v>
                </c:pt>
                <c:pt idx="34">
                  <c:v>46266</c:v>
                </c:pt>
                <c:pt idx="35">
                  <c:v>46267</c:v>
                </c:pt>
                <c:pt idx="36">
                  <c:v>46268</c:v>
                </c:pt>
              </c:numCache>
            </c:numRef>
          </c:cat>
          <c:val>
            <c:numRef>
              <c:f>'Pivot New-creation'!$U$2:$U$38</c:f>
              <c:numCache>
                <c:formatCode>General</c:formatCode>
                <c:ptCount val="37"/>
                <c:pt idx="0">
                  <c:v>1</c:v>
                </c:pt>
                <c:pt idx="1">
                  <c:v>6</c:v>
                </c:pt>
                <c:pt idx="3">
                  <c:v>1</c:v>
                </c:pt>
                <c:pt idx="4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2</c:v>
                </c:pt>
                <c:pt idx="9">
                  <c:v>11</c:v>
                </c:pt>
                <c:pt idx="10">
                  <c:v>4</c:v>
                </c:pt>
                <c:pt idx="11">
                  <c:v>1</c:v>
                </c:pt>
                <c:pt idx="12">
                  <c:v>8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25</c:v>
                </c:pt>
                <c:pt idx="24">
                  <c:v>22</c:v>
                </c:pt>
                <c:pt idx="25">
                  <c:v>5</c:v>
                </c:pt>
                <c:pt idx="26">
                  <c:v>9</c:v>
                </c:pt>
                <c:pt idx="27">
                  <c:v>9</c:v>
                </c:pt>
                <c:pt idx="28">
                  <c:v>4</c:v>
                </c:pt>
                <c:pt idx="29">
                  <c:v>0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6-4507-9036-8155403CEB58}"/>
            </c:ext>
          </c:extLst>
        </c:ser>
        <c:ser>
          <c:idx val="2"/>
          <c:order val="2"/>
          <c:tx>
            <c:strRef>
              <c:f>'Pivot New-creation'!$V$1</c:f>
              <c:strCache>
                <c:ptCount val="1"/>
                <c:pt idx="0">
                  <c:v>Poorslit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'Pivot New-creation'!$S$2:$S$38</c:f>
              <c:numCache>
                <c:formatCode>m/d/yyyy</c:formatCode>
                <c:ptCount val="37"/>
                <c:pt idx="0">
                  <c:v>46207</c:v>
                </c:pt>
                <c:pt idx="1">
                  <c:v>46209</c:v>
                </c:pt>
                <c:pt idx="2">
                  <c:v>46210</c:v>
                </c:pt>
                <c:pt idx="3">
                  <c:v>46211</c:v>
                </c:pt>
                <c:pt idx="4">
                  <c:v>46212</c:v>
                </c:pt>
                <c:pt idx="5">
                  <c:v>46213</c:v>
                </c:pt>
                <c:pt idx="6">
                  <c:v>46214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46223</c:v>
                </c:pt>
                <c:pt idx="14">
                  <c:v>46224</c:v>
                </c:pt>
                <c:pt idx="15">
                  <c:v>46225</c:v>
                </c:pt>
                <c:pt idx="16">
                  <c:v>46226</c:v>
                </c:pt>
                <c:pt idx="17">
                  <c:v>46227</c:v>
                </c:pt>
                <c:pt idx="18">
                  <c:v>46228</c:v>
                </c:pt>
                <c:pt idx="19">
                  <c:v>46230</c:v>
                </c:pt>
                <c:pt idx="20">
                  <c:v>46232</c:v>
                </c:pt>
                <c:pt idx="21">
                  <c:v>46237</c:v>
                </c:pt>
                <c:pt idx="22">
                  <c:v>46239</c:v>
                </c:pt>
                <c:pt idx="23">
                  <c:v>46240</c:v>
                </c:pt>
                <c:pt idx="24">
                  <c:v>46241</c:v>
                </c:pt>
                <c:pt idx="25">
                  <c:v>46245</c:v>
                </c:pt>
                <c:pt idx="26">
                  <c:v>46246</c:v>
                </c:pt>
                <c:pt idx="27">
                  <c:v>46247</c:v>
                </c:pt>
                <c:pt idx="28">
                  <c:v>46248</c:v>
                </c:pt>
                <c:pt idx="29">
                  <c:v>46249</c:v>
                </c:pt>
                <c:pt idx="30">
                  <c:v>46253</c:v>
                </c:pt>
                <c:pt idx="31">
                  <c:v>46254</c:v>
                </c:pt>
                <c:pt idx="32">
                  <c:v>46255</c:v>
                </c:pt>
                <c:pt idx="33">
                  <c:v>46260</c:v>
                </c:pt>
                <c:pt idx="34">
                  <c:v>46266</c:v>
                </c:pt>
                <c:pt idx="35">
                  <c:v>46267</c:v>
                </c:pt>
                <c:pt idx="36">
                  <c:v>46268</c:v>
                </c:pt>
              </c:numCache>
            </c:numRef>
          </c:cat>
          <c:val>
            <c:numRef>
              <c:f>'Pivot New-creation'!$V$2:$V$38</c:f>
              <c:numCache>
                <c:formatCode>General</c:formatCode>
                <c:ptCount val="37"/>
                <c:pt idx="25">
                  <c:v>3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6-4507-9036-8155403CE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835936"/>
        <c:axId val="1034822496"/>
      </c:barChart>
      <c:catAx>
        <c:axId val="1034835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22496"/>
        <c:crosses val="autoZero"/>
        <c:auto val="0"/>
        <c:lblAlgn val="ctr"/>
        <c:lblOffset val="100"/>
        <c:noMultiLvlLbl val="0"/>
      </c:catAx>
      <c:valAx>
        <c:axId val="10348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3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SLOW MOVING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Pareto!$B$7</c:f>
              <c:strCache>
                <c:ptCount val="1"/>
                <c:pt idx="0">
                  <c:v>SM FIFO - Under review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Pareto!$A$16:$A$49</c:f>
              <c:numCache>
                <c:formatCode>m/d/yyyy</c:formatCode>
                <c:ptCount val="3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46236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</c:numCache>
            </c:numRef>
          </c:cat>
          <c:val>
            <c:numRef>
              <c:f>Pareto!$B$16:$B$49</c:f>
              <c:numCache>
                <c:formatCode>General</c:formatCode>
                <c:ptCount val="34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48</c:v>
                </c:pt>
                <c:pt idx="12">
                  <c:v>47</c:v>
                </c:pt>
                <c:pt idx="13">
                  <c:v>46</c:v>
                </c:pt>
                <c:pt idx="14">
                  <c:v>45</c:v>
                </c:pt>
                <c:pt idx="15">
                  <c:v>43</c:v>
                </c:pt>
                <c:pt idx="16">
                  <c:v>41</c:v>
                </c:pt>
                <c:pt idx="17">
                  <c:v>39</c:v>
                </c:pt>
                <c:pt idx="18">
                  <c:v>35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20</c:v>
                </c:pt>
                <c:pt idx="31">
                  <c:v>18</c:v>
                </c:pt>
                <c:pt idx="3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4-499A-9810-6BA7F20ED4EB}"/>
            </c:ext>
          </c:extLst>
        </c:ser>
        <c:ser>
          <c:idx val="1"/>
          <c:order val="1"/>
          <c:tx>
            <c:strRef>
              <c:f>Pareto!$C$7</c:f>
              <c:strCache>
                <c:ptCount val="1"/>
                <c:pt idx="0">
                  <c:v>FINAL REVIEW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Pareto!$A$16:$A$49</c:f>
              <c:numCache>
                <c:formatCode>m/d/yyyy</c:formatCode>
                <c:ptCount val="3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46236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</c:numCache>
            </c:numRef>
          </c:cat>
          <c:val>
            <c:numRef>
              <c:f>Pareto!$C$16:$C$49</c:f>
              <c:numCache>
                <c:formatCode>General</c:formatCode>
                <c:ptCount val="34"/>
                <c:pt idx="0">
                  <c:v>50</c:v>
                </c:pt>
                <c:pt idx="1">
                  <c:v>49</c:v>
                </c:pt>
                <c:pt idx="2">
                  <c:v>48</c:v>
                </c:pt>
                <c:pt idx="3">
                  <c:v>50</c:v>
                </c:pt>
                <c:pt idx="4">
                  <c:v>50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46</c:v>
                </c:pt>
                <c:pt idx="9">
                  <c:v>50</c:v>
                </c:pt>
                <c:pt idx="10">
                  <c:v>49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47</c:v>
                </c:pt>
                <c:pt idx="15">
                  <c:v>46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4-499A-9810-6BA7F20ED4EB}"/>
            </c:ext>
          </c:extLst>
        </c:ser>
        <c:ser>
          <c:idx val="2"/>
          <c:order val="2"/>
          <c:tx>
            <c:strRef>
              <c:f>Pareto!$D$7</c:f>
              <c:strCache>
                <c:ptCount val="1"/>
                <c:pt idx="0">
                  <c:v>New 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Pareto!$A$16:$A$49</c:f>
              <c:numCache>
                <c:formatCode>m/d/yyyy</c:formatCode>
                <c:ptCount val="3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46236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</c:numCache>
            </c:numRef>
          </c:cat>
          <c:val>
            <c:numRef>
              <c:f>Pareto!$D$16:$D$49</c:f>
              <c:numCache>
                <c:formatCode>General</c:formatCode>
                <c:ptCount val="34"/>
                <c:pt idx="0">
                  <c:v>8</c:v>
                </c:pt>
                <c:pt idx="1">
                  <c:v>4</c:v>
                </c:pt>
                <c:pt idx="2">
                  <c:v>18</c:v>
                </c:pt>
                <c:pt idx="3">
                  <c:v>2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13</c:v>
                </c:pt>
                <c:pt idx="8">
                  <c:v>4</c:v>
                </c:pt>
                <c:pt idx="9">
                  <c:v>8</c:v>
                </c:pt>
                <c:pt idx="10">
                  <c:v>11</c:v>
                </c:pt>
                <c:pt idx="11">
                  <c:v>4</c:v>
                </c:pt>
                <c:pt idx="12">
                  <c:v>12</c:v>
                </c:pt>
                <c:pt idx="13">
                  <c:v>4</c:v>
                </c:pt>
                <c:pt idx="14">
                  <c:v>1</c:v>
                </c:pt>
                <c:pt idx="15">
                  <c:v>8</c:v>
                </c:pt>
                <c:pt idx="16">
                  <c:v>5</c:v>
                </c:pt>
                <c:pt idx="17">
                  <c:v>9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4-499A-9810-6BA7F20ED4EB}"/>
            </c:ext>
          </c:extLst>
        </c:ser>
        <c:ser>
          <c:idx val="3"/>
          <c:order val="3"/>
          <c:tx>
            <c:strRef>
              <c:f>Pareto!$E$7</c:f>
              <c:strCache>
                <c:ptCount val="1"/>
                <c:pt idx="0">
                  <c:v>Execution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Pareto!$A$16:$A$49</c:f>
              <c:numCache>
                <c:formatCode>m/d/yyyy</c:formatCode>
                <c:ptCount val="3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46236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</c:numCache>
            </c:numRef>
          </c:cat>
          <c:val>
            <c:numRef>
              <c:f>Pareto!$E$16:$E$49</c:f>
              <c:numCache>
                <c:formatCode>General</c:formatCode>
                <c:ptCount val="34"/>
                <c:pt idx="0">
                  <c:v>11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7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4-499A-9810-6BA7F20E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226655"/>
        <c:axId val="1558232415"/>
      </c:barChart>
      <c:lineChart>
        <c:grouping val="standard"/>
        <c:varyColors val="0"/>
        <c:ser>
          <c:idx val="4"/>
          <c:order val="4"/>
          <c:tx>
            <c:strRef>
              <c:f>Pareto!$F$7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Pareto!$A$16:$A$49</c:f>
              <c:numCache>
                <c:formatCode>m/d/yyyy</c:formatCode>
                <c:ptCount val="3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46209</c:v>
                </c:pt>
                <c:pt idx="5">
                  <c:v>46210</c:v>
                </c:pt>
                <c:pt idx="6">
                  <c:v>46211</c:v>
                </c:pt>
                <c:pt idx="7">
                  <c:v>46212</c:v>
                </c:pt>
                <c:pt idx="8">
                  <c:v>46213</c:v>
                </c:pt>
                <c:pt idx="9">
                  <c:v>46214</c:v>
                </c:pt>
                <c:pt idx="10">
                  <c:v>46216</c:v>
                </c:pt>
                <c:pt idx="11">
                  <c:v>46217</c:v>
                </c:pt>
                <c:pt idx="12">
                  <c:v>46218</c:v>
                </c:pt>
                <c:pt idx="13">
                  <c:v>46219</c:v>
                </c:pt>
                <c:pt idx="14">
                  <c:v>46220</c:v>
                </c:pt>
                <c:pt idx="15">
                  <c:v>46221</c:v>
                </c:pt>
                <c:pt idx="16">
                  <c:v>46223</c:v>
                </c:pt>
                <c:pt idx="17">
                  <c:v>46224</c:v>
                </c:pt>
                <c:pt idx="18">
                  <c:v>46225</c:v>
                </c:pt>
                <c:pt idx="19">
                  <c:v>46226</c:v>
                </c:pt>
                <c:pt idx="20">
                  <c:v>46227</c:v>
                </c:pt>
                <c:pt idx="21">
                  <c:v>46228</c:v>
                </c:pt>
                <c:pt idx="22">
                  <c:v>46230</c:v>
                </c:pt>
                <c:pt idx="23">
                  <c:v>46231</c:v>
                </c:pt>
                <c:pt idx="24">
                  <c:v>46232</c:v>
                </c:pt>
                <c:pt idx="25">
                  <c:v>46233</c:v>
                </c:pt>
                <c:pt idx="26">
                  <c:v>46234</c:v>
                </c:pt>
                <c:pt idx="27">
                  <c:v>46235</c:v>
                </c:pt>
                <c:pt idx="28">
                  <c:v>46236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</c:numCache>
            </c:numRef>
          </c:cat>
          <c:val>
            <c:numRef>
              <c:f>Pareto!$F$16:$F$49</c:f>
              <c:numCache>
                <c:formatCode>General</c:formatCode>
                <c:ptCount val="34"/>
                <c:pt idx="0">
                  <c:v>96</c:v>
                </c:pt>
                <c:pt idx="1">
                  <c:v>97</c:v>
                </c:pt>
                <c:pt idx="2">
                  <c:v>112</c:v>
                </c:pt>
                <c:pt idx="3">
                  <c:v>97</c:v>
                </c:pt>
                <c:pt idx="4">
                  <c:v>101</c:v>
                </c:pt>
                <c:pt idx="5">
                  <c:v>92</c:v>
                </c:pt>
                <c:pt idx="6">
                  <c:v>92</c:v>
                </c:pt>
                <c:pt idx="7">
                  <c:v>110</c:v>
                </c:pt>
                <c:pt idx="8">
                  <c:v>95</c:v>
                </c:pt>
                <c:pt idx="9">
                  <c:v>102</c:v>
                </c:pt>
                <c:pt idx="10">
                  <c:v>107</c:v>
                </c:pt>
                <c:pt idx="11">
                  <c:v>99</c:v>
                </c:pt>
                <c:pt idx="12">
                  <c:v>106</c:v>
                </c:pt>
                <c:pt idx="13">
                  <c:v>95</c:v>
                </c:pt>
                <c:pt idx="14">
                  <c:v>90</c:v>
                </c:pt>
                <c:pt idx="15">
                  <c:v>93</c:v>
                </c:pt>
                <c:pt idx="16">
                  <c:v>86</c:v>
                </c:pt>
                <c:pt idx="17">
                  <c:v>86</c:v>
                </c:pt>
                <c:pt idx="18">
                  <c:v>80</c:v>
                </c:pt>
                <c:pt idx="19">
                  <c:v>72</c:v>
                </c:pt>
                <c:pt idx="20">
                  <c:v>73</c:v>
                </c:pt>
                <c:pt idx="21">
                  <c:v>73</c:v>
                </c:pt>
                <c:pt idx="22">
                  <c:v>65</c:v>
                </c:pt>
                <c:pt idx="23">
                  <c:v>54</c:v>
                </c:pt>
                <c:pt idx="24">
                  <c:v>58</c:v>
                </c:pt>
                <c:pt idx="25">
                  <c:v>58</c:v>
                </c:pt>
                <c:pt idx="26">
                  <c:v>58</c:v>
                </c:pt>
                <c:pt idx="27">
                  <c:v>58</c:v>
                </c:pt>
                <c:pt idx="28">
                  <c:v>58</c:v>
                </c:pt>
                <c:pt idx="29">
                  <c:v>58</c:v>
                </c:pt>
                <c:pt idx="30">
                  <c:v>61</c:v>
                </c:pt>
                <c:pt idx="31">
                  <c:v>59</c:v>
                </c:pt>
                <c:pt idx="32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A4-499A-9810-6BA7F20E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226655"/>
        <c:axId val="1558232415"/>
      </c:lineChart>
      <c:dateAx>
        <c:axId val="1558226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32415"/>
        <c:crosses val="autoZero"/>
        <c:auto val="1"/>
        <c:lblOffset val="100"/>
        <c:baseTimeUnit val="days"/>
      </c:dateAx>
      <c:valAx>
        <c:axId val="15582324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 DI FIFO</a:t>
            </a:r>
          </a:p>
        </c:rich>
      </c:tx>
      <c:layout>
        <c:manualLayout>
          <c:xMode val="edge"/>
          <c:yMode val="edge"/>
          <c:x val="0.422979002624671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Pareto!$N$36:$O$36</c:f>
              <c:strCache>
                <c:ptCount val="2"/>
                <c:pt idx="0">
                  <c:v>NON CLEANER</c:v>
                </c:pt>
                <c:pt idx="1">
                  <c:v>CLEANER</c:v>
                </c:pt>
              </c:strCache>
            </c:strRef>
          </c:cat>
          <c:val>
            <c:numRef>
              <c:f>Pareto!$N$37:$O$37</c:f>
              <c:numCache>
                <c:formatCode>General</c:formatCode>
                <c:ptCount val="2"/>
                <c:pt idx="0">
                  <c:v>22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D-4216-A1A5-7085443E5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422927"/>
        <c:axId val="1922443567"/>
      </c:barChart>
      <c:catAx>
        <c:axId val="192242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43567"/>
        <c:crosses val="autoZero"/>
        <c:auto val="1"/>
        <c:lblAlgn val="ctr"/>
        <c:lblOffset val="100"/>
        <c:noMultiLvlLbl val="0"/>
      </c:catAx>
      <c:valAx>
        <c:axId val="1922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2292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</a:t>
            </a:r>
            <a:r>
              <a:rPr lang="en-US" baseline="0"/>
              <a:t> FIFO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Pareto!$I$36:$J$36</c:f>
              <c:strCache>
                <c:ptCount val="2"/>
                <c:pt idx="0">
                  <c:v>SM FIFO - UNDER REVIEW</c:v>
                </c:pt>
                <c:pt idx="1">
                  <c:v>FINAL REVIEW</c:v>
                </c:pt>
              </c:strCache>
            </c:strRef>
          </c:cat>
          <c:val>
            <c:numRef>
              <c:f>Pareto!$I$37:$J$37</c:f>
              <c:numCache>
                <c:formatCode>General</c:formatCode>
                <c:ptCount val="2"/>
                <c:pt idx="0">
                  <c:v>22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F-4421-BBCA-350E106FE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520239"/>
        <c:axId val="1270524079"/>
      </c:barChart>
      <c:catAx>
        <c:axId val="12705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4079"/>
        <c:crosses val="autoZero"/>
        <c:auto val="1"/>
        <c:lblAlgn val="ctr"/>
        <c:lblOffset val="100"/>
        <c:noMultiLvlLbl val="0"/>
      </c:catAx>
      <c:valAx>
        <c:axId val="12705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023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396152</xdr:colOff>
      <xdr:row>2</xdr:row>
      <xdr:rowOff>153939</xdr:rowOff>
    </xdr:from>
    <xdr:to>
      <xdr:col>23</xdr:col>
      <xdr:colOff>53878</xdr:colOff>
      <xdr:row>22</xdr:row>
      <xdr:rowOff>61576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1F56E3E-A6CE-4761-97C1-7BF623B92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34395</xdr:colOff>
      <xdr:row>2</xdr:row>
      <xdr:rowOff>0</xdr:rowOff>
    </xdr:from>
    <xdr:to>
      <xdr:col>23</xdr:col>
      <xdr:colOff>546485</xdr:colOff>
      <xdr:row>21</xdr:row>
      <xdr:rowOff>92364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E8A844D-4CB6-40CB-9498-48403B3C5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396152</xdr:colOff>
      <xdr:row>2</xdr:row>
      <xdr:rowOff>153939</xdr:rowOff>
    </xdr:from>
    <xdr:to>
      <xdr:col>22</xdr:col>
      <xdr:colOff>638848</xdr:colOff>
      <xdr:row>22</xdr:row>
      <xdr:rowOff>61576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BC80D81-059A-4FD2-AC36-5A5349B66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10</xdr:row>
      <xdr:rowOff>3810</xdr:rowOff>
    </xdr:from>
    <xdr:to>
      <xdr:col>18</xdr:col>
      <xdr:colOff>15240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38CB2-0C83-8D0C-32F1-5200B3F89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200136</xdr:colOff>
      <xdr:row>2</xdr:row>
      <xdr:rowOff>120314</xdr:rowOff>
    </xdr:from>
    <xdr:to>
      <xdr:col>24</xdr:col>
      <xdr:colOff>362589</xdr:colOff>
      <xdr:row>24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BDB776F-E366-4394-A21A-5C1770CB6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304800</xdr:colOff>
      <xdr:row>24</xdr:row>
      <xdr:rowOff>121919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5AE7DDDD-05C5-EAD2-0FEA-963217CBEF98}"/>
            </a:ext>
          </a:extLst>
        </xdr:cNvPr>
        <xdr:cNvSpPr>
          <a:spLocks noChangeAspect="1" noChangeArrowheads="1"/>
        </xdr:cNvSpPr>
      </xdr:nvSpPr>
      <xdr:spPr bwMode="auto">
        <a:xfrm>
          <a:off x="11978640" y="40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140367</xdr:colOff>
      <xdr:row>2</xdr:row>
      <xdr:rowOff>50131</xdr:rowOff>
    </xdr:from>
    <xdr:to>
      <xdr:col>41</xdr:col>
      <xdr:colOff>423136</xdr:colOff>
      <xdr:row>21</xdr:row>
      <xdr:rowOff>40105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21768B89-F76A-44B0-83D9-E2A20E84A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372803</xdr:colOff>
      <xdr:row>38</xdr:row>
      <xdr:rowOff>128623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73675-2B14-22BF-0907-CE1BEDC97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16803" cy="7078063"/>
        </a:xfrm>
        <a:prstGeom prst="rect">
          <a:avLst/>
        </a:prstGeom>
      </xdr:spPr>
    </xdr:pic>
    <xdr:clientData/>
  </xdr:twoCellAnchor>
  <xdr:twoCellAnchor editAs="oneCell">
    <xdr:from>
      <xdr:col>2</xdr:col>
      <xdr:colOff>608382</xdr:colOff>
      <xdr:row>39</xdr:row>
      <xdr:rowOff>79375</xdr:rowOff>
    </xdr:from>
    <xdr:to>
      <xdr:col>14</xdr:col>
      <xdr:colOff>76665</xdr:colOff>
      <xdr:row>65</xdr:row>
      <xdr:rowOff>102054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BFBCED-FF87-F427-6FC1-972F6033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3025" y="7155089"/>
          <a:ext cx="6816140" cy="47398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121920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F93677B5-DE6E-414B-D8FF-A55C1877331E}"/>
            </a:ext>
          </a:extLst>
        </xdr:cNvPr>
        <xdr:cNvSpPr>
          <a:spLocks noChangeAspect="1" noChangeArrowheads="1"/>
        </xdr:cNvSpPr>
      </xdr:nvSpPr>
      <xdr:spPr bwMode="auto">
        <a:xfrm>
          <a:off x="6355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304800</xdr:colOff>
      <xdr:row>14</xdr:row>
      <xdr:rowOff>121920</xdr:rowOff>
    </xdr:to>
    <xdr:sp macro="" textlink="">
      <xdr:nvSpPr>
        <xdr:cNvPr id="19460" name="AutoShape 4">
          <a:extLst>
            <a:ext uri="{FF2B5EF4-FFF2-40B4-BE49-F238E27FC236}">
              <a16:creationId xmlns:a16="http://schemas.microsoft.com/office/drawing/2014/main" id="{2BBC0B1D-C0A9-DADC-C8F6-BB0F9F646DAD}"/>
            </a:ext>
          </a:extLst>
        </xdr:cNvPr>
        <xdr:cNvSpPr>
          <a:spLocks noChangeAspect="1" noChangeArrowheads="1"/>
        </xdr:cNvSpPr>
      </xdr:nvSpPr>
      <xdr:spPr bwMode="auto">
        <a:xfrm>
          <a:off x="931926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6</xdr:row>
      <xdr:rowOff>304800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24B331CB-546C-FFC8-0F51-3651BBD04B65}"/>
            </a:ext>
          </a:extLst>
        </xdr:cNvPr>
        <xdr:cNvSpPr>
          <a:spLocks noChangeAspect="1" noChangeArrowheads="1"/>
        </xdr:cNvSpPr>
      </xdr:nvSpPr>
      <xdr:spPr bwMode="auto">
        <a:xfrm>
          <a:off x="7909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</xdr:colOff>
      <xdr:row>88</xdr:row>
      <xdr:rowOff>175260</xdr:rowOff>
    </xdr:from>
    <xdr:to>
      <xdr:col>34</xdr:col>
      <xdr:colOff>215800</xdr:colOff>
      <xdr:row>113</xdr:row>
      <xdr:rowOff>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50962-8374-480A-B1B5-ECEAED23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8440" y="16634460"/>
          <a:ext cx="10571380" cy="3554276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136</xdr:row>
      <xdr:rowOff>68580</xdr:rowOff>
    </xdr:from>
    <xdr:to>
      <xdr:col>30</xdr:col>
      <xdr:colOff>95032</xdr:colOff>
      <xdr:row>152</xdr:row>
      <xdr:rowOff>49396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79694-4610-22CA-FA61-EF5129BA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25300" y="25306020"/>
          <a:ext cx="10275352" cy="29068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</xdr:row>
      <xdr:rowOff>110490</xdr:rowOff>
    </xdr:from>
    <xdr:to>
      <xdr:col>15</xdr:col>
      <xdr:colOff>381000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DB197-0593-4C7E-BE95-BE1652EBB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464820</xdr:colOff>
      <xdr:row>7</xdr:row>
      <xdr:rowOff>163830</xdr:rowOff>
    </xdr:from>
    <xdr:to>
      <xdr:col>31</xdr:col>
      <xdr:colOff>525780</xdr:colOff>
      <xdr:row>25</xdr:row>
      <xdr:rowOff>91440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D6FEDA49-799F-5B33-B01A-2F9C1255A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5</xdr:row>
      <xdr:rowOff>15240</xdr:rowOff>
    </xdr:from>
    <xdr:to>
      <xdr:col>21</xdr:col>
      <xdr:colOff>342900</xdr:colOff>
      <xdr:row>33</xdr:row>
      <xdr:rowOff>45720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0F3E563-07C9-407C-B1B3-028E8D9C6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129540</xdr:colOff>
      <xdr:row>37</xdr:row>
      <xdr:rowOff>41910</xdr:rowOff>
    </xdr:from>
    <xdr:to>
      <xdr:col>19</xdr:col>
      <xdr:colOff>114300</xdr:colOff>
      <xdr:row>51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D4964-199D-480D-A18E-3A2FF8D8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</xdr:colOff>
      <xdr:row>37</xdr:row>
      <xdr:rowOff>57150</xdr:rowOff>
    </xdr:from>
    <xdr:to>
      <xdr:col>11</xdr:col>
      <xdr:colOff>594360</xdr:colOff>
      <xdr:row>51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CF901-BF9D-4799-A8C6-436B98E56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odyearcorp.sharepoint.com/sites/HPTMIXING/Shared%20Documents/General/7.%20SLOW%20MOVING/SLOW%20MOVING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jat Sudrajat" refreshedDate="46198.730472685187" createdVersion="8" refreshedVersion="8" minRefreshableVersion="3" recordCount="202" xr:uid="{C5ABCA46-7087-42B5-B0E3-490116C224A5}">
  <cacheSource type="worksheet">
    <worksheetSource ref="A1:H1048576" sheet="Inventory" r:id="rId2"/>
  </cacheSource>
  <cacheFields count="8">
    <cacheField name="No." numFmtId="0">
      <sharedItems containsString="0" containsBlank="1" containsNumber="1" containsInteger="1" minValue="1" maxValue="217"/>
    </cacheField>
    <cacheField name="Pack" numFmtId="0">
      <sharedItems containsBlank="1" containsMixedTypes="1" containsNumber="1" containsInteger="1" minValue="130" maxValue="130"/>
    </cacheField>
    <cacheField name="Compound" numFmtId="0">
      <sharedItems containsBlank="1" count="33">
        <s v="S888R"/>
        <s v="S003R"/>
        <s v="S777C"/>
        <s v="T97F1"/>
        <s v="T167N"/>
        <s v="S7852R"/>
        <s v="S7351"/>
        <m/>
        <s v="T1698"/>
        <s v="T4427"/>
        <s v="NO ID"/>
        <s v="N1785"/>
        <s v="T16R5"/>
        <s v="S7851"/>
        <s v="K16V5"/>
        <s v="K96H6"/>
        <s v="G7204"/>
        <s v="B1578"/>
        <s v="F740A"/>
        <s v="B1026"/>
        <s v="T4427R"/>
        <s v="N11F3"/>
        <s v="K269A"/>
        <s v="K941A"/>
        <s v="K83T4"/>
        <s v="F7894"/>
        <s v="B337X"/>
        <s v="N11F3R"/>
        <s v="CAMPURAN"/>
        <s v="WSWR"/>
        <s v="S6A93"/>
        <s v="F1082"/>
        <s v="N5843"/>
      </sharedItems>
    </cacheField>
    <cacheField name="NOTE" numFmtId="0">
      <sharedItems containsBlank="1" count="3">
        <s v="OK "/>
        <s v="SCRAP"/>
        <m/>
      </sharedItems>
    </cacheField>
    <cacheField name="REMARKS" numFmtId="0">
      <sharedItems containsBlank="1"/>
    </cacheField>
    <cacheField name="Area" numFmtId="0">
      <sharedItems containsBlank="1" count="5">
        <s v="AREA RACK DEPAN LAYDOWN"/>
        <s v="AREA WT RELEASE"/>
        <s v="FIFO"/>
        <s v="SAMPING LAYDOWN BB2"/>
        <m/>
      </sharedItems>
    </cacheField>
    <cacheField name="TANGGAL EKSEKUSI" numFmtId="0">
      <sharedItems containsNonDate="0" containsDate="1" containsString="0" containsBlank="1" minDate="2026-06-23T00:00:00" maxDate="2026-06-25T00:00:00" count="3">
        <m/>
        <d v="2026-06-23T00:00:00"/>
        <d v="2026-06-24T00:00:00"/>
      </sharedItems>
    </cacheField>
    <cacheField name="User Area" numFmtId="0">
      <sharedItems containsBlank="1" count="4">
        <s v="MIXING"/>
        <s v="EXT"/>
        <s v="CALCU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tri Amalia" refreshedDate="46240.395136342595" createdVersion="8" refreshedVersion="8" minRefreshableVersion="3" recordCount="238" xr:uid="{B3419FF0-5338-4882-B99A-536177926733}">
  <cacheSource type="worksheet">
    <worksheetSource ref="A1:N1048576" sheet="SM OLD" r:id="rId2"/>
  </cacheSource>
  <cacheFields count="14">
    <cacheField name="NO." numFmtId="0">
      <sharedItems containsString="0" containsBlank="1" containsNumber="1" containsInteger="1" minValue="1" maxValue="230"/>
    </cacheField>
    <cacheField name="No. Comp" numFmtId="0">
      <sharedItems containsBlank="1" containsMixedTypes="1" containsNumber="1" containsInteger="1" minValue="1" maxValue="280"/>
    </cacheField>
    <cacheField name="Rack" numFmtId="0">
      <sharedItems containsBlank="1" containsMixedTypes="1" containsNumber="1" containsInteger="1" minValue="130" maxValue="165"/>
    </cacheField>
    <cacheField name="Compound" numFmtId="0">
      <sharedItems containsBlank="1" count="42">
        <s v="K96H6"/>
        <s v="WSWR"/>
        <s v="F7894"/>
        <s v="S003R"/>
        <s v="T1511"/>
        <s v="B337X"/>
        <s v="T4427"/>
        <s v="N2784"/>
        <s v="S7852"/>
        <s v="N11F3"/>
        <s v="T1698R"/>
        <s v="S888R"/>
        <s v="T16R5"/>
        <s v="S7851"/>
        <s v="T1698"/>
        <s v="B1578"/>
        <s v="S6A93"/>
        <s v="N1785"/>
        <s v="K269A"/>
        <s v="T167N"/>
        <s v="S8183"/>
        <s v="N1817"/>
        <s v="T97F1"/>
        <s v="K941A"/>
        <s v="NO ID"/>
        <s v="CAMPURAN"/>
        <s v="B1026"/>
        <s v="S8381"/>
        <s v="K16V5"/>
        <s v="K83T4"/>
        <s v="N1785R"/>
        <s v="T4427R"/>
        <s v="S27T1"/>
        <s v="F1082"/>
        <s v="K771H"/>
        <s v="S7852R"/>
        <s v="T7131"/>
        <s v="NO.ID"/>
        <s v="B337X "/>
        <s v="S7892"/>
        <m/>
        <s v="??" u="1"/>
      </sharedItems>
    </cacheField>
    <cacheField name="NOTE" numFmtId="0">
      <sharedItems containsBlank="1" count="3">
        <s v="OK"/>
        <s v="SCRAP"/>
        <m/>
      </sharedItems>
    </cacheField>
    <cacheField name="REMARKS" numFmtId="0">
      <sharedItems containsBlank="1"/>
    </cacheField>
    <cacheField name="Area" numFmtId="0">
      <sharedItems containsBlank="1"/>
    </cacheField>
    <cacheField name="BRUTO" numFmtId="0">
      <sharedItems containsString="0" containsBlank="1" containsNumber="1" containsInteger="1" minValue="224" maxValue="1223"/>
    </cacheField>
    <cacheField name="BERAT SKID" numFmtId="0">
      <sharedItems containsString="0" containsBlank="1" containsNumber="1" containsInteger="1" minValue="66" maxValue="125"/>
    </cacheField>
    <cacheField name="NETTO" numFmtId="0">
      <sharedItems containsBlank="1" containsMixedTypes="1" containsNumber="1" containsInteger="1" minValue="120" maxValue="6716"/>
    </cacheField>
    <cacheField name="TANGGAL EKSEKUSI" numFmtId="0">
      <sharedItems containsDate="1" containsBlank="1" containsMixedTypes="1" minDate="2026-06-22T00:00:00" maxDate="2028-07-30T00:00:00" count="23">
        <d v="2026-06-23T00:00:00"/>
        <d v="2026-06-22T00:00:00"/>
        <m/>
        <d v="2026-06-25T00:00:00"/>
        <d v="2026-07-07T00:00:00"/>
        <s v="JUL"/>
        <d v="2026-07-22T00:00:00"/>
        <d v="2026-07-28T00:00:00"/>
        <d v="2026-07-03T00:00:00"/>
        <d v="2026-07-23T00:00:00"/>
        <d v="2026-06-27T00:00:00"/>
        <d v="2026-07-29T00:00:00"/>
        <d v="2026-07-08T00:00:00"/>
        <d v="2026-06-26T00:00:00"/>
        <d v="2026-06-24T00:00:00"/>
        <d v="2026-06-28T00:00:00"/>
        <d v="2026-06-29T00:00:00"/>
        <d v="2026-06-30T00:00:00"/>
        <d v="2026-07-27T00:00:00"/>
        <d v="2028-07-29T00:00:00"/>
        <s v="JUL "/>
        <d v="2026-07-26T00:00:00" u="1"/>
        <d v="2026-07-24T00:00:00" u="1"/>
      </sharedItems>
    </cacheField>
    <cacheField name="AREA EKSEKUTOR" numFmtId="0">
      <sharedItems containsBlank="1"/>
    </cacheField>
    <cacheField name="REMARKS2" numFmtId="0">
      <sharedItems containsBlank="1" count="16">
        <m/>
        <s v="gagal SCRAP"/>
        <s v="Dibawa ke ext"/>
        <s v="DARI DPN TANL PROMOLIK"/>
        <s v="SCRAP"/>
        <s v="Restacking"/>
        <s v="OK, HABIS"/>
        <s v="buang"/>
        <s v="OK"/>
        <s v="scrap TC"/>
        <s v="COBA BB3"/>
        <s v="OK BY EXT"/>
        <s v="Sudah di scrap"/>
        <s v="ADA"/>
        <s v="Habis"/>
        <s v="OK Habis"/>
      </sharedItems>
    </cacheField>
    <cacheField name="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tri Amalia" refreshedDate="46240.395137962965" createdVersion="8" refreshedVersion="8" minRefreshableVersion="3" recordCount="224" xr:uid="{9823BE9D-72AF-40E6-AC77-528D8618C234}">
  <cacheSource type="worksheet">
    <worksheetSource ref="A1:M1048576" sheet="NEW"/>
  </cacheSource>
  <cacheFields count="13">
    <cacheField name="NO." numFmtId="0">
      <sharedItems containsString="0" containsBlank="1" containsNumber="1" containsInteger="1" minValue="1" maxValue="214"/>
    </cacheField>
    <cacheField name="No. Comp" numFmtId="0">
      <sharedItems containsString="0" containsBlank="1" containsNumber="1" containsInteger="1" minValue="1" maxValue="280"/>
    </cacheField>
    <cacheField name="Rack" numFmtId="0">
      <sharedItems containsBlank="1" containsMixedTypes="1" containsNumber="1" containsInteger="1" minValue="130" maxValue="165"/>
    </cacheField>
    <cacheField name="Compound" numFmtId="0">
      <sharedItems containsBlank="1" count="40">
        <s v="K96H6"/>
        <s v="WSWR"/>
        <s v="F7894"/>
        <s v="S003R"/>
        <s v="S888R"/>
        <s v="T1511"/>
        <s v="B337X"/>
        <s v="T4427"/>
        <s v="T1698"/>
        <s v="N2784"/>
        <s v="T1698R"/>
        <s v="T16R5"/>
        <s v="S7851"/>
        <s v="T4427R"/>
        <s v="N11F3"/>
        <s v="B1578"/>
        <s v="T167N"/>
        <s v="N1785"/>
        <s v="S8183"/>
        <s v="N1817"/>
        <s v="T97F1"/>
        <s v="NO ID"/>
        <s v="S7852"/>
        <s v="K941A"/>
        <s v="S6A93"/>
        <s v="CAMPURAN"/>
        <s v="K269A"/>
        <s v="B1026"/>
        <s v="S8381"/>
        <s v="K16V5"/>
        <s v="K83T4"/>
        <s v="N1785R"/>
        <s v="S27T1"/>
        <s v="F1082"/>
        <s v="K771H"/>
        <s v="S7852R"/>
        <s v="T7131"/>
        <m/>
        <s v="CAMPUR" u="1"/>
        <s v="N5843" u="1"/>
      </sharedItems>
    </cacheField>
    <cacheField name="NOTE" numFmtId="0">
      <sharedItems containsBlank="1" count="4">
        <s v="OK"/>
        <s v="SCRAP"/>
        <m/>
        <s v="REMILL" u="1"/>
      </sharedItems>
    </cacheField>
    <cacheField name="REMARKS" numFmtId="0">
      <sharedItems containsBlank="1"/>
    </cacheField>
    <cacheField name="Area" numFmtId="0">
      <sharedItems containsBlank="1"/>
    </cacheField>
    <cacheField name="BRUTO" numFmtId="0">
      <sharedItems containsString="0" containsBlank="1" containsNumber="1" containsInteger="1" minValue="224" maxValue="1223"/>
    </cacheField>
    <cacheField name="BERAT SKID" numFmtId="0">
      <sharedItems containsString="0" containsBlank="1" containsNumber="1" containsInteger="1" minValue="66" maxValue="125"/>
    </cacheField>
    <cacheField name="NETTO" numFmtId="0">
      <sharedItems containsString="0" containsBlank="1" containsNumber="1" containsInteger="1" minValue="120" maxValue="1132"/>
    </cacheField>
    <cacheField name="TANGGAL EKSEKUSI" numFmtId="0">
      <sharedItems containsDate="1" containsBlank="1" containsMixedTypes="1" minDate="2026-06-22T00:00:00" maxDate="2026-07-08T00:00:00" count="15">
        <d v="2026-06-23T00:00:00"/>
        <d v="2026-06-22T00:00:00"/>
        <m/>
        <d v="2026-06-25T00:00:00"/>
        <d v="2026-07-07T00:00:00"/>
        <s v="??"/>
        <d v="2026-07-03T00:00:00"/>
        <d v="2026-06-27T00:00:00"/>
        <d v="2026-06-24T00:00:00"/>
        <d v="2026-06-28T00:00:00"/>
        <d v="2026-06-30T00:00:00"/>
        <d v="2026-06-29T00:00:00"/>
        <d v="2026-06-26T00:00:00"/>
        <d v="2026-07-01T00:00:00"/>
        <d v="2026-07-02T00:00:00" u="1"/>
      </sharedItems>
    </cacheField>
    <cacheField name="AREA EKSEKUTOR" numFmtId="0">
      <sharedItems containsBlank="1"/>
    </cacheField>
    <cacheField name="REMARKS2" numFmtId="0">
      <sharedItems containsBlank="1" count="12">
        <m/>
        <s v="gagal SCRAP"/>
        <s v="DARI DPN TANL PROMOLIK"/>
        <s v="OK, HABIS"/>
        <s v="buang"/>
        <s v="OK"/>
        <s v="scrap TC"/>
        <s v="COBA BB3"/>
        <s v="OK BY EXT"/>
        <s v="Sudah di scrap"/>
        <s v="Habis"/>
        <s v="OK Hab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tri Amalia" refreshedDate="46240.39513946759" createdVersion="8" refreshedVersion="8" minRefreshableVersion="3" recordCount="214" xr:uid="{AFBCE3C3-35DA-4EAC-93DD-AE7D44531143}">
  <cacheSource type="worksheet">
    <worksheetSource ref="A1:N215" sheet="NEW"/>
  </cacheSource>
  <cacheFields count="14">
    <cacheField name="NO." numFmtId="0">
      <sharedItems containsSemiMixedTypes="0" containsString="0" containsNumber="1" containsInteger="1" minValue="1" maxValue="214"/>
    </cacheField>
    <cacheField name="No. Comp" numFmtId="0">
      <sharedItems containsSemiMixedTypes="0" containsString="0" containsNumber="1" containsInteger="1" minValue="1" maxValue="280"/>
    </cacheField>
    <cacheField name="Rack" numFmtId="0">
      <sharedItems containsMixedTypes="1" containsNumber="1" containsInteger="1" minValue="130" maxValue="165"/>
    </cacheField>
    <cacheField name="Compound" numFmtId="0">
      <sharedItems count="37">
        <s v="K96H6"/>
        <s v="WSWR"/>
        <s v="F7894"/>
        <s v="S003R"/>
        <s v="S888R"/>
        <s v="T1511"/>
        <s v="B337X"/>
        <s v="T4427"/>
        <s v="T1698"/>
        <s v="N2784"/>
        <s v="T1698R"/>
        <s v="T16R5"/>
        <s v="S7851"/>
        <s v="T4427R"/>
        <s v="N11F3"/>
        <s v="B1578"/>
        <s v="T167N"/>
        <s v="N1785"/>
        <s v="S8183"/>
        <s v="N1817"/>
        <s v="T97F1"/>
        <s v="NO ID"/>
        <s v="S7852"/>
        <s v="K941A"/>
        <s v="S6A93"/>
        <s v="CAMPURAN"/>
        <s v="K269A"/>
        <s v="B1026"/>
        <s v="S8381"/>
        <s v="K16V5"/>
        <s v="K83T4"/>
        <s v="N1785R"/>
        <s v="S27T1"/>
        <s v="F1082"/>
        <s v="K771H"/>
        <s v="S7852R"/>
        <s v="T7131"/>
      </sharedItems>
    </cacheField>
    <cacheField name="NOTE" numFmtId="0">
      <sharedItems count="2">
        <s v="OK"/>
        <s v="SCRAP"/>
      </sharedItems>
    </cacheField>
    <cacheField name="REMARKS" numFmtId="0">
      <sharedItems/>
    </cacheField>
    <cacheField name="Area" numFmtId="0">
      <sharedItems/>
    </cacheField>
    <cacheField name="BRUTO" numFmtId="0">
      <sharedItems containsString="0" containsBlank="1" containsNumber="1" containsInteger="1" minValue="224" maxValue="1223"/>
    </cacheField>
    <cacheField name="BERAT SKID" numFmtId="0">
      <sharedItems containsString="0" containsBlank="1" containsNumber="1" containsInteger="1" minValue="66" maxValue="125"/>
    </cacheField>
    <cacheField name="NETTO" numFmtId="0">
      <sharedItems containsSemiMixedTypes="0" containsString="0" containsNumber="1" containsInteger="1" minValue="120" maxValue="1132"/>
    </cacheField>
    <cacheField name="TANGGAL EKSEKUSI" numFmtId="0">
      <sharedItems containsDate="1" containsBlank="1" containsMixedTypes="1" minDate="2026-06-22T00:00:00" maxDate="2026-07-08T00:00:00" count="14">
        <d v="2026-06-23T00:00:00"/>
        <d v="2026-06-22T00:00:00"/>
        <m/>
        <d v="2026-06-25T00:00:00"/>
        <d v="2026-07-07T00:00:00"/>
        <s v="??"/>
        <d v="2026-07-03T00:00:00"/>
        <d v="2026-06-27T00:00:00"/>
        <d v="2026-06-24T00:00:00"/>
        <d v="2026-06-28T00:00:00"/>
        <d v="2026-06-30T00:00:00"/>
        <d v="2026-06-29T00:00:00"/>
        <d v="2026-06-26T00:00:00"/>
        <d v="2026-07-01T00:00:00"/>
      </sharedItems>
    </cacheField>
    <cacheField name="AREA EKSEKUTOR" numFmtId="0">
      <sharedItems/>
    </cacheField>
    <cacheField name="REMARKS2" numFmtId="0">
      <sharedItems containsBlank="1"/>
    </cacheField>
    <cacheField name="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tri Amalia" refreshedDate="46240.395140740744" createdVersion="8" refreshedVersion="8" minRefreshableVersion="3" recordCount="203" xr:uid="{C9027443-40DA-47EB-971F-D65E4FED9A5B}">
  <cacheSource type="worksheet">
    <worksheetSource ref="A1:I1048576" sheet="Sheet1"/>
  </cacheSource>
  <cacheFields count="9">
    <cacheField name="No." numFmtId="0">
      <sharedItems containsString="0" containsBlank="1" containsNumber="1" containsInteger="1" minValue="1" maxValue="219"/>
    </cacheField>
    <cacheField name="Pack" numFmtId="0">
      <sharedItems containsBlank="1" containsMixedTypes="1" containsNumber="1" containsInteger="1" minValue="130" maxValue="130"/>
    </cacheField>
    <cacheField name="Compound" numFmtId="0">
      <sharedItems containsBlank="1"/>
    </cacheField>
    <cacheField name="NOTE" numFmtId="0">
      <sharedItems containsBlank="1"/>
    </cacheField>
    <cacheField name="REMARKS" numFmtId="0">
      <sharedItems containsBlank="1"/>
    </cacheField>
    <cacheField name="Area" numFmtId="0">
      <sharedItems containsBlank="1"/>
    </cacheField>
    <cacheField name="TANGGAL EKSEKUSI" numFmtId="0">
      <sharedItems containsDate="1" containsBlank="1" containsMixedTypes="1" minDate="2026-06-23T00:00:00" maxDate="2026-06-27T00:00:00"/>
    </cacheField>
    <cacheField name="AREA2" numFmtId="0">
      <sharedItems containsBlank="1"/>
    </cacheField>
    <cacheField name="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tri Amalia" refreshedDate="46240.395141435183" createdVersion="8" refreshedVersion="8" minRefreshableVersion="3" recordCount="203" xr:uid="{71B95F8A-C009-4F44-9236-FC94929E8EE8}">
  <cacheSource type="worksheet">
    <worksheetSource ref="A1:H1048576" sheet="Inventory"/>
  </cacheSource>
  <cacheFields count="8">
    <cacheField name="No." numFmtId="0">
      <sharedItems containsString="0" containsBlank="1" containsNumber="1" containsInteger="1" minValue="1" maxValue="217"/>
    </cacheField>
    <cacheField name="Pack" numFmtId="0">
      <sharedItems containsBlank="1" containsMixedTypes="1" containsNumber="1" containsInteger="1" minValue="130" maxValue="130"/>
    </cacheField>
    <cacheField name="Compound" numFmtId="0">
      <sharedItems containsBlank="1" count="33">
        <s v="B337X"/>
        <s v="S888R"/>
        <s v="S003R"/>
        <s v="B1578"/>
        <s v="K269A"/>
        <s v="S777C"/>
        <s v="K941A"/>
        <s v="T4427R"/>
        <m/>
        <s v="N11F3"/>
        <s v="G7204"/>
        <s v="T1698"/>
        <s v="T4427"/>
        <s v="N1785"/>
        <s v="N11F3R"/>
        <s v="T97F1"/>
        <s v="B1026"/>
        <s v="NO ID"/>
        <s v="T167N"/>
        <s v="K83T4"/>
        <s v="T16R5"/>
        <s v="WSWR"/>
        <s v="S6A93"/>
        <s v="S7852R"/>
        <s v="F1082"/>
        <s v="CAMPURAN"/>
        <s v="S7351"/>
        <s v="K16V5"/>
        <s v="S7851"/>
        <s v="F7894"/>
        <s v="K96H6"/>
        <s v="F740A"/>
        <s v="N5843"/>
      </sharedItems>
    </cacheField>
    <cacheField name="NOTE" numFmtId="0">
      <sharedItems containsBlank="1" count="3">
        <s v="SCRAP"/>
        <s v="OK "/>
        <m/>
      </sharedItems>
    </cacheField>
    <cacheField name="REMARKS" numFmtId="0">
      <sharedItems containsBlank="1"/>
    </cacheField>
    <cacheField name="Area" numFmtId="0">
      <sharedItems containsBlank="1" count="5">
        <s v="FIFO"/>
        <s v="AREA RACK DEPAN LAYDOWN"/>
        <s v="AREA WT RELEASE"/>
        <s v="SAMPING LAYDOWN BB2"/>
        <m/>
      </sharedItems>
    </cacheField>
    <cacheField name="TANGGAL EKSEKUSI" numFmtId="0">
      <sharedItems containsNonDate="0" containsDate="1" containsString="0" containsBlank="1" minDate="2026-06-23T00:00:00" maxDate="2026-06-27T00:00:00" count="5">
        <m/>
        <d v="2026-06-24T00:00:00"/>
        <d v="2026-06-23T00:00:00"/>
        <d v="2026-06-26T00:00:00"/>
        <d v="2026-06-25T00:00:00"/>
      </sharedItems>
    </cacheField>
    <cacheField name="User 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jat Sudrajat" refreshedDate="46252.338076736109" createdVersion="8" refreshedVersion="8" minRefreshableVersion="3" recordCount="132" xr:uid="{D5EF66F8-45E6-460E-8A70-39CB6544617C}">
  <cacheSource type="worksheet">
    <worksheetSource ref="B2:K565" sheet="Disposisi"/>
  </cacheSource>
  <cacheFields count="10">
    <cacheField name="NO." numFmtId="0">
      <sharedItems containsString="0" containsBlank="1" containsNumber="1" containsInteger="1" minValue="1" maxValue="129"/>
    </cacheField>
    <cacheField name="No Tag Disposisi" numFmtId="0">
      <sharedItems containsBlank="1" containsMixedTypes="1" containsNumber="1" containsInteger="1" minValue="1" maxValue="17326"/>
    </cacheField>
    <cacheField name="Compound" numFmtId="0">
      <sharedItems containsBlank="1"/>
    </cacheField>
    <cacheField name="Mix Date" numFmtId="0">
      <sharedItems containsNonDate="0" containsString="0" containsBlank="1"/>
    </cacheField>
    <cacheField name="Disposisi sebagai" numFmtId="0">
      <sharedItems containsBlank="1" count="17">
        <s v="AS S7890 saat running F7894, coba 1 batch dulu, kalau OK lanjutkan"/>
        <s v="GILING EXT"/>
        <s v="Cleaner N5843"/>
        <s v="Remill terpisah saat run S7672"/>
        <s v="RESTACKING"/>
        <s v="CONGKEL"/>
        <s v="POTONG-POTONG"/>
        <s v="SEGREAGASI"/>
        <s v="PAKAI EXT"/>
        <s v="GILING EXT (to be scrap)"/>
        <s v="SEBAGAI CLEANER"/>
        <s v="BLEND FRESH COMPOUND"/>
        <s v="PAKAI DI CALCUT"/>
        <s v="SCRAP"/>
        <s v="RACK ATAS BELUM DISPOSISI"/>
        <s v="SEGREGASI"/>
        <m/>
      </sharedItems>
    </cacheField>
    <cacheField name="Tgl Restacking / Pickle out" numFmtId="0">
      <sharedItems containsNonDate="0" containsDate="1" containsString="0" containsBlank="1" minDate="2026-08-03T00:00:00" maxDate="2026-08-14T00:00:00"/>
    </cacheField>
    <cacheField name="Tgl Disposisi" numFmtId="0">
      <sharedItems containsNonDate="0" containsDate="1" containsString="0" containsBlank="1" minDate="2026-06-29T00:00:00" maxDate="2026-08-15T00:00:00"/>
    </cacheField>
    <cacheField name="Tanggal Eksekusi" numFmtId="0">
      <sharedItems containsNonDate="0" containsDate="1" containsString="0" containsBlank="1" minDate="2026-08-04T00:00:00" maxDate="2026-08-15T00:00:00" count="9">
        <d v="2026-08-06T00:00:00"/>
        <m/>
        <d v="2026-08-14T00:00:00"/>
        <d v="2026-08-12T00:00:00"/>
        <d v="2026-08-11T00:00:00"/>
        <d v="2026-08-04T00:00:00"/>
        <d v="2026-08-10T00:00:00"/>
        <d v="2026-08-07T00:00:00"/>
        <d v="2026-08-13T00:00:00"/>
      </sharedItems>
    </cacheField>
    <cacheField name="Remarks" numFmtId="0">
      <sharedItems containsBlank="1" count="9">
        <s v="FIFO"/>
        <s v="FIFO JENDELA"/>
        <s v="TIMBANGAN EXT"/>
        <s v="8 EXT"/>
        <s v="AREA DISPOSISI"/>
        <s v="BB#1"/>
        <s v="3 ROLL"/>
        <s v="RACK DIE SHOP"/>
        <m/>
      </sharedItems>
    </cacheField>
    <cacheField name="Batch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jat Sudrajat" refreshedDate="46255.415831712962" createdVersion="8" refreshedVersion="8" minRefreshableVersion="3" recordCount="226" xr:uid="{B5361425-4CA5-4CBB-9E06-8FB0E6A46989}">
  <cacheSource type="worksheet">
    <worksheetSource ref="A1:I1048576" sheet="Newcreation"/>
  </cacheSource>
  <cacheFields count="9">
    <cacheField name="No" numFmtId="0">
      <sharedItems containsString="0" containsBlank="1" containsNumber="1" containsInteger="1" minValue="1" maxValue="230"/>
    </cacheField>
    <cacheField name="No Tag Disposisi" numFmtId="0">
      <sharedItems containsBlank="1" containsMixedTypes="1" containsNumber="1" containsInteger="1" minValue="1" maxValue="17275"/>
    </cacheField>
    <cacheField name="Compound" numFmtId="0">
      <sharedItems containsBlank="1"/>
    </cacheField>
    <cacheField name="Note" numFmtId="0">
      <sharedItems containsBlank="1"/>
    </cacheField>
    <cacheField name="Mix Date" numFmtId="0">
      <sharedItems containsDate="1" containsBlank="1" containsMixedTypes="1" minDate="2026-02-07T00:00:00" maxDate="2026-08-08T00:00:00"/>
    </cacheField>
    <cacheField name="Defect" numFmtId="0">
      <sharedItems containsBlank="1" count="9">
        <m/>
        <s v="Lumpy"/>
        <s v="Sticky"/>
        <s v="OK"/>
        <s v="DRY"/>
        <s v="Poorslit"/>
        <s v="OFF TEST"/>
        <s v="FORMAT BESI"/>
        <s v="FORMAT BENANG"/>
      </sharedItems>
    </cacheField>
    <cacheField name="Disposisikan Sebagai" numFmtId="0">
      <sharedItems containsBlank="1"/>
    </cacheField>
    <cacheField name="Tgl Restack/Pickle Out" numFmtId="0">
      <sharedItems containsDate="1" containsBlank="1" containsMixedTypes="1" minDate="2026-06-27T00:00:00" maxDate="2026-07-26T00:00:00"/>
    </cacheField>
    <cacheField name="Tgl Disposisi" numFmtId="0">
      <sharedItems containsDate="1" containsBlank="1" containsMixedTypes="1" minDate="2026-06-29T00:00:00" maxDate="2026-08-13T00:00:00" count="38">
        <d v="2026-06-30T00:00:00"/>
        <d v="2026-07-01T00:00:00"/>
        <s v="-"/>
        <d v="2026-07-07T00:00:00"/>
        <d v="2026-07-02T00:00:00"/>
        <d v="2026-06-29T00:00:00"/>
        <d v="2026-07-03T00:00:00"/>
        <d v="2026-07-04T00:00:00"/>
        <d v="2026-07-06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m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9T00:00:00"/>
        <d v="2026-08-03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7-28T00:00:00" u="1"/>
        <s v="`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e Anggiarman" refreshedDate="46267.726842708333" createdVersion="8" refreshedVersion="8" minRefreshableVersion="3" recordCount="163" xr:uid="{B3A56B3E-A05C-42E7-9502-DBEA6C42F55E}">
  <cacheSource type="worksheet">
    <worksheetSource ref="B2:K182" sheet="Disposisi"/>
  </cacheSource>
  <cacheFields count="10">
    <cacheField name="NO." numFmtId="0">
      <sharedItems containsString="0" containsBlank="1" containsNumber="1" containsInteger="1" minValue="1" maxValue="162"/>
    </cacheField>
    <cacheField name="No Tag Disposisi" numFmtId="0">
      <sharedItems containsBlank="1" containsMixedTypes="1" containsNumber="1" containsInteger="1" minValue="0" maxValue="17326"/>
    </cacheField>
    <cacheField name="Compound" numFmtId="0">
      <sharedItems containsBlank="1"/>
    </cacheField>
    <cacheField name="Mix Date" numFmtId="0">
      <sharedItems containsNonDate="0" containsString="0" containsBlank="1"/>
    </cacheField>
    <cacheField name="Disposisi sebagai" numFmtId="0">
      <sharedItems containsBlank="1" count="21">
        <s v="RESTACKING"/>
        <s v="GILING EXT"/>
        <s v="PAKAI EXT"/>
        <s v="SEBAGAI CLEANER"/>
        <s v="CONGKEL"/>
        <s v="Cleaner N5843"/>
        <s v="Remill terpisah saat run S7672"/>
        <s v="POTONG-POTONG"/>
        <s v="SEGREAGASI"/>
        <s v="PAKAI DI CALCUT"/>
        <s v="GILING EXT (SCRAP)"/>
        <s v="REMILL + LEIBAX"/>
        <s v="SEGREGASI"/>
        <s v="GILING CALCUT"/>
        <s v="SCRAP"/>
        <s v="PAKAI UB"/>
        <s v="AS S7890 saat running F7894, coba 1 batch dulu, kalau OK lanjutkan"/>
        <s v="GILING EXT (to be scrap)"/>
        <s v="BLEND FRESH COMPOUND"/>
        <s v="RACK ATAS BELUM DISPOSISI"/>
        <m/>
      </sharedItems>
    </cacheField>
    <cacheField name="Tgl Restacking / Pickle out" numFmtId="0">
      <sharedItems containsNonDate="0" containsDate="1" containsString="0" containsBlank="1" minDate="2026-08-03T00:00:00" maxDate="2026-08-14T00:00:00"/>
    </cacheField>
    <cacheField name="Tgl Disposisi" numFmtId="0">
      <sharedItems containsNonDate="0" containsDate="1" containsString="0" containsBlank="1" minDate="2026-06-29T00:00:00" maxDate="2026-09-03T00:00:00"/>
    </cacheField>
    <cacheField name="Tanggal Eksekusi" numFmtId="0">
      <sharedItems containsNonDate="0" containsDate="1" containsString="0" containsBlank="1" minDate="2026-08-04T00:00:00" maxDate="2026-09-03T00:00:00" count="14">
        <d v="2026-08-26T00:00:00"/>
        <d v="2026-08-23T00:00:00"/>
        <m/>
        <d v="2026-09-02T00:00:00"/>
        <d v="2026-08-04T00:00:00"/>
        <d v="2026-08-06T00:00:00"/>
        <d v="2026-08-14T00:00:00"/>
        <d v="2026-08-12T00:00:00"/>
        <d v="2026-08-21T00:00:00"/>
        <d v="2026-08-11T00:00:00"/>
        <d v="2026-08-07T00:00:00"/>
        <d v="2026-08-10T00:00:00"/>
        <d v="2026-08-13T00:00:00"/>
        <d v="2026-08-18T00:00:00"/>
      </sharedItems>
    </cacheField>
    <cacheField name="Remarks" numFmtId="0">
      <sharedItems containsBlank="1" count="16">
        <s v="NC AREA"/>
        <s v="RESTACKING AREA"/>
        <s v="RUBBER CUTTER"/>
        <s v="8 EXT"/>
        <s v="TIMBANGAN EXT"/>
        <s v="FIFO JENDELA"/>
        <s v="FIFO"/>
        <s v="BB#1"/>
        <s v="SIAP PAKAI"/>
        <s v="3 ROLL"/>
        <s v="PULANDIAN"/>
        <s v="CALCUT"/>
        <s v="BB#2"/>
        <s v="RACK DIE SHOP"/>
        <m/>
        <s v="AREA DISPOSISI" u="1"/>
      </sharedItems>
    </cacheField>
    <cacheField name="Batch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9"/>
    <s v="BE18"/>
    <x v="0"/>
    <x v="0"/>
    <s v="PISAHIN"/>
    <x v="0"/>
    <x v="0"/>
    <x v="0"/>
  </r>
  <r>
    <n v="30"/>
    <s v="BE17"/>
    <x v="1"/>
    <x v="0"/>
    <s v="RESTACKING"/>
    <x v="0"/>
    <x v="0"/>
    <x v="0"/>
  </r>
  <r>
    <n v="36"/>
    <s v="BF17"/>
    <x v="1"/>
    <x v="0"/>
    <s v="RESTACKING"/>
    <x v="0"/>
    <x v="0"/>
    <x v="0"/>
  </r>
  <r>
    <n v="37"/>
    <s v="BF18"/>
    <x v="1"/>
    <x v="0"/>
    <s v="PISAHIN"/>
    <x v="0"/>
    <x v="0"/>
    <x v="0"/>
  </r>
  <r>
    <n v="41"/>
    <s v="OTR"/>
    <x v="2"/>
    <x v="0"/>
    <s v="RESTACKING"/>
    <x v="0"/>
    <x v="0"/>
    <x v="0"/>
  </r>
  <r>
    <n v="43"/>
    <s v="OTR"/>
    <x v="1"/>
    <x v="0"/>
    <s v="BAGUS"/>
    <x v="0"/>
    <x v="0"/>
    <x v="0"/>
  </r>
  <r>
    <n v="58"/>
    <s v="OTR"/>
    <x v="3"/>
    <x v="0"/>
    <s v="SEBAGAI OS T16R5"/>
    <x v="1"/>
    <x v="1"/>
    <x v="0"/>
  </r>
  <r>
    <n v="65"/>
    <s v="A91"/>
    <x v="3"/>
    <x v="0"/>
    <s v="OK T16R5"/>
    <x v="2"/>
    <x v="2"/>
    <x v="0"/>
  </r>
  <r>
    <n v="67"/>
    <s v="B91"/>
    <x v="4"/>
    <x v="0"/>
    <s v="TIMBANG &amp; KEMBALIKAN KE ASALNYA"/>
    <x v="2"/>
    <x v="0"/>
    <x v="0"/>
  </r>
  <r>
    <n v="69"/>
    <s v="B92"/>
    <x v="1"/>
    <x v="0"/>
    <s v="RESTACKING"/>
    <x v="2"/>
    <x v="0"/>
    <x v="0"/>
  </r>
  <r>
    <n v="87"/>
    <s v="C38"/>
    <x v="5"/>
    <x v="0"/>
    <s v="ATAS PISAHIN (MASTERBATCH)"/>
    <x v="2"/>
    <x v="0"/>
    <x v="0"/>
  </r>
  <r>
    <n v="93"/>
    <s v="B37"/>
    <x v="5"/>
    <x v="0"/>
    <s v="SEREGASI"/>
    <x v="2"/>
    <x v="0"/>
    <x v="0"/>
  </r>
  <r>
    <n v="97"/>
    <s v="C36"/>
    <x v="1"/>
    <x v="0"/>
    <s v="PAKAI CLEANER"/>
    <x v="2"/>
    <x v="0"/>
    <x v="0"/>
  </r>
  <r>
    <n v="100"/>
    <s v="B35"/>
    <x v="5"/>
    <x v="0"/>
    <s v="RESTACKING"/>
    <x v="2"/>
    <x v="0"/>
    <x v="0"/>
  </r>
  <r>
    <n v="102"/>
    <s v="B36"/>
    <x v="6"/>
    <x v="0"/>
    <s v="CONGKEL"/>
    <x v="2"/>
    <x v="0"/>
    <x v="0"/>
  </r>
  <r>
    <n v="105"/>
    <s v="C30"/>
    <x v="1"/>
    <x v="0"/>
    <s v="OK (REMILL)"/>
    <x v="2"/>
    <x v="0"/>
    <x v="0"/>
  </r>
  <r>
    <n v="106"/>
    <s v="B29"/>
    <x v="1"/>
    <x v="0"/>
    <s v="SEREGASI"/>
    <x v="2"/>
    <x v="0"/>
    <x v="0"/>
  </r>
  <r>
    <n v="111"/>
    <s v="A29"/>
    <x v="5"/>
    <x v="0"/>
    <s v="POTONG-POTONG"/>
    <x v="2"/>
    <x v="0"/>
    <x v="0"/>
  </r>
  <r>
    <n v="116"/>
    <s v="A25"/>
    <x v="5"/>
    <x v="0"/>
    <s v="SEREGASI"/>
    <x v="2"/>
    <x v="0"/>
    <x v="0"/>
  </r>
  <r>
    <n v="119"/>
    <s v="A23"/>
    <x v="0"/>
    <x v="0"/>
    <s v="RESTACKING"/>
    <x v="2"/>
    <x v="0"/>
    <x v="0"/>
  </r>
  <r>
    <n v="131"/>
    <s v="A11"/>
    <x v="1"/>
    <x v="0"/>
    <s v="REMILL"/>
    <x v="2"/>
    <x v="0"/>
    <x v="0"/>
  </r>
  <r>
    <n v="137"/>
    <s v="C31"/>
    <x v="1"/>
    <x v="0"/>
    <s v="RESTACKING"/>
    <x v="2"/>
    <x v="0"/>
    <x v="0"/>
  </r>
  <r>
    <n v="139"/>
    <s v="C28"/>
    <x v="1"/>
    <x v="0"/>
    <s v="SEBAGAI LAST NP 10 KG T16R5"/>
    <x v="2"/>
    <x v="0"/>
    <x v="0"/>
  </r>
  <r>
    <n v="45"/>
    <s v="AE15"/>
    <x v="7"/>
    <x v="0"/>
    <s v="LENGKET"/>
    <x v="1"/>
    <x v="0"/>
    <x v="1"/>
  </r>
  <r>
    <n v="142"/>
    <s v="C25"/>
    <x v="1"/>
    <x v="0"/>
    <s v="REMILL"/>
    <x v="2"/>
    <x v="0"/>
    <x v="0"/>
  </r>
  <r>
    <n v="61"/>
    <s v="CF28"/>
    <x v="8"/>
    <x v="0"/>
    <s v="SELEKSI"/>
    <x v="1"/>
    <x v="0"/>
    <x v="1"/>
  </r>
  <r>
    <n v="62"/>
    <s v="B85"/>
    <x v="9"/>
    <x v="0"/>
    <s v="CONGKEL &amp; RESTACKING"/>
    <x v="2"/>
    <x v="0"/>
    <x v="1"/>
  </r>
  <r>
    <n v="63"/>
    <s v="C85"/>
    <x v="9"/>
    <x v="0"/>
    <s v="CONGKEL"/>
    <x v="2"/>
    <x v="0"/>
    <x v="1"/>
  </r>
  <r>
    <n v="143"/>
    <s v="B27"/>
    <x v="10"/>
    <x v="0"/>
    <s v="RESTACKING"/>
    <x v="2"/>
    <x v="0"/>
    <x v="0"/>
  </r>
  <r>
    <n v="144"/>
    <s v="B24"/>
    <x v="1"/>
    <x v="0"/>
    <s v="PISAHIN"/>
    <x v="2"/>
    <x v="0"/>
    <x v="0"/>
  </r>
  <r>
    <n v="145"/>
    <s v="C24"/>
    <x v="10"/>
    <x v="0"/>
    <s v="RESTACKING"/>
    <x v="2"/>
    <x v="0"/>
    <x v="0"/>
  </r>
  <r>
    <n v="68"/>
    <s v="A91"/>
    <x v="11"/>
    <x v="0"/>
    <s v="CONGKEL &amp; PAKAI DI KITA"/>
    <x v="2"/>
    <x v="0"/>
    <x v="1"/>
  </r>
  <r>
    <n v="147"/>
    <s v="B22"/>
    <x v="5"/>
    <x v="0"/>
    <s v="CONGKEL"/>
    <x v="2"/>
    <x v="0"/>
    <x v="0"/>
  </r>
  <r>
    <n v="73"/>
    <s v="B94"/>
    <x v="12"/>
    <x v="0"/>
    <s v="CONGKEL &amp; RESTACKING"/>
    <x v="2"/>
    <x v="0"/>
    <x v="1"/>
  </r>
  <r>
    <n v="74"/>
    <s v="C94"/>
    <x v="11"/>
    <x v="0"/>
    <s v="CONGKEL &amp; RESTACKING"/>
    <x v="2"/>
    <x v="0"/>
    <x v="1"/>
  </r>
  <r>
    <n v="75"/>
    <s v="B95"/>
    <x v="8"/>
    <x v="0"/>
    <s v="CONGKEL &amp; PISAHIN"/>
    <x v="2"/>
    <x v="0"/>
    <x v="1"/>
  </r>
  <r>
    <n v="76"/>
    <s v="C95"/>
    <x v="9"/>
    <x v="0"/>
    <s v="CONGKEL &amp; RESTACKING"/>
    <x v="2"/>
    <x v="0"/>
    <x v="1"/>
  </r>
  <r>
    <n v="77"/>
    <s v="C96"/>
    <x v="9"/>
    <x v="0"/>
    <s v="CONGKEL &amp; RESTACKING (EXT)"/>
    <x v="2"/>
    <x v="0"/>
    <x v="1"/>
  </r>
  <r>
    <n v="78"/>
    <s v="C96"/>
    <x v="11"/>
    <x v="0"/>
    <s v="SEREGASI"/>
    <x v="2"/>
    <x v="0"/>
    <x v="1"/>
  </r>
  <r>
    <n v="79"/>
    <s v="B119"/>
    <x v="11"/>
    <x v="0"/>
    <s v="EXT"/>
    <x v="2"/>
    <x v="0"/>
    <x v="1"/>
  </r>
  <r>
    <n v="81"/>
    <s v="B118"/>
    <x v="7"/>
    <x v="0"/>
    <s v="RESTACKING"/>
    <x v="2"/>
    <x v="0"/>
    <x v="1"/>
  </r>
  <r>
    <n v="148"/>
    <s v="C22"/>
    <x v="10"/>
    <x v="0"/>
    <s v="PISAHIN"/>
    <x v="2"/>
    <x v="0"/>
    <x v="0"/>
  </r>
  <r>
    <n v="151"/>
    <s v="B20"/>
    <x v="10"/>
    <x v="0"/>
    <s v="RESTACKING"/>
    <x v="2"/>
    <x v="0"/>
    <x v="0"/>
  </r>
  <r>
    <n v="152"/>
    <s v="C20"/>
    <x v="0"/>
    <x v="0"/>
    <s v="CONGKEL"/>
    <x v="2"/>
    <x v="0"/>
    <x v="0"/>
  </r>
  <r>
    <n v="153"/>
    <s v="C19"/>
    <x v="0"/>
    <x v="0"/>
    <s v="PISAHIN"/>
    <x v="2"/>
    <x v="0"/>
    <x v="0"/>
  </r>
  <r>
    <n v="161"/>
    <s v="B13"/>
    <x v="1"/>
    <x v="0"/>
    <s v="RESTACKING"/>
    <x v="2"/>
    <x v="0"/>
    <x v="0"/>
  </r>
  <r>
    <n v="90"/>
    <m/>
    <x v="8"/>
    <x v="0"/>
    <s v="SEGREASI PISAHIN (AREA RESTACK)"/>
    <x v="2"/>
    <x v="0"/>
    <x v="1"/>
  </r>
  <r>
    <n v="162"/>
    <s v="C14"/>
    <x v="10"/>
    <x v="0"/>
    <s v="PISAHIN"/>
    <x v="2"/>
    <x v="0"/>
    <x v="0"/>
  </r>
  <r>
    <n v="164"/>
    <s v="B14"/>
    <x v="1"/>
    <x v="0"/>
    <s v="REMILL"/>
    <x v="2"/>
    <x v="0"/>
    <x v="0"/>
  </r>
  <r>
    <n v="166"/>
    <s v="C11"/>
    <x v="1"/>
    <x v="0"/>
    <s v="PISAHIN"/>
    <x v="2"/>
    <x v="0"/>
    <x v="0"/>
  </r>
  <r>
    <n v="95"/>
    <s v="A35"/>
    <x v="8"/>
    <x v="0"/>
    <s v="SEREGASI"/>
    <x v="2"/>
    <x v="0"/>
    <x v="1"/>
  </r>
  <r>
    <n v="169"/>
    <s v="B11"/>
    <x v="1"/>
    <x v="0"/>
    <s v="RESTACKING"/>
    <x v="2"/>
    <x v="0"/>
    <x v="0"/>
  </r>
  <r>
    <n v="98"/>
    <s v="B34"/>
    <x v="8"/>
    <x v="0"/>
    <s v="CONGKEL"/>
    <x v="2"/>
    <x v="0"/>
    <x v="1"/>
  </r>
  <r>
    <n v="99"/>
    <s v="C34"/>
    <x v="8"/>
    <x v="0"/>
    <s v="CONGKEL"/>
    <x v="2"/>
    <x v="0"/>
    <x v="1"/>
  </r>
  <r>
    <n v="170"/>
    <s v="B10"/>
    <x v="10"/>
    <x v="0"/>
    <s v="RESTACKING F740A ODS"/>
    <x v="2"/>
    <x v="0"/>
    <x v="0"/>
  </r>
  <r>
    <n v="171"/>
    <s v="B9"/>
    <x v="1"/>
    <x v="0"/>
    <s v="OK PAKE"/>
    <x v="2"/>
    <x v="0"/>
    <x v="0"/>
  </r>
  <r>
    <n v="173"/>
    <s v="C9"/>
    <x v="1"/>
    <x v="0"/>
    <s v="PISAHIN"/>
    <x v="2"/>
    <x v="0"/>
    <x v="0"/>
  </r>
  <r>
    <n v="174"/>
    <s v="C7"/>
    <x v="1"/>
    <x v="0"/>
    <s v="RESTACKING"/>
    <x v="2"/>
    <x v="0"/>
    <x v="0"/>
  </r>
  <r>
    <n v="107"/>
    <s v="C29"/>
    <x v="11"/>
    <x v="0"/>
    <s v="RESTACKING"/>
    <x v="2"/>
    <x v="0"/>
    <x v="1"/>
  </r>
  <r>
    <n v="108"/>
    <s v="A31"/>
    <x v="11"/>
    <x v="0"/>
    <s v="RESTACKING"/>
    <x v="2"/>
    <x v="0"/>
    <x v="1"/>
  </r>
  <r>
    <n v="175"/>
    <s v="B7"/>
    <x v="1"/>
    <x v="0"/>
    <s v="OK CKEANER"/>
    <x v="2"/>
    <x v="0"/>
    <x v="0"/>
  </r>
  <r>
    <n v="176"/>
    <s v="C128"/>
    <x v="1"/>
    <x v="0"/>
    <s v="CLEANER BB2"/>
    <x v="2"/>
    <x v="0"/>
    <x v="0"/>
  </r>
  <r>
    <n v="114"/>
    <s v="A26"/>
    <x v="13"/>
    <x v="0"/>
    <s v="POTONG-POTONG"/>
    <x v="2"/>
    <x v="0"/>
    <x v="0"/>
  </r>
  <r>
    <n v="112"/>
    <s v="LANTAI"/>
    <x v="14"/>
    <x v="0"/>
    <s v="DISPOSISI"/>
    <x v="2"/>
    <x v="0"/>
    <x v="1"/>
  </r>
  <r>
    <n v="165"/>
    <s v="C12"/>
    <x v="1"/>
    <x v="0"/>
    <s v="SEBAGAI NOLO LAST RUN S6R51"/>
    <x v="2"/>
    <x v="0"/>
    <x v="0"/>
  </r>
  <r>
    <n v="121"/>
    <s v="A21"/>
    <x v="11"/>
    <x v="0"/>
    <s v="SEGREASI PISAHIN "/>
    <x v="2"/>
    <x v="0"/>
    <x v="1"/>
  </r>
  <r>
    <n v="125"/>
    <s v="A16"/>
    <x v="11"/>
    <x v="0"/>
    <s v="RESTACKING"/>
    <x v="2"/>
    <x v="0"/>
    <x v="1"/>
  </r>
  <r>
    <n v="129"/>
    <s v="A12"/>
    <x v="11"/>
    <x v="0"/>
    <s v="JADIIN OS"/>
    <x v="2"/>
    <x v="0"/>
    <x v="1"/>
  </r>
  <r>
    <n v="130"/>
    <n v="130"/>
    <x v="15"/>
    <x v="0"/>
    <s v="RESTACKING"/>
    <x v="2"/>
    <x v="1"/>
    <x v="1"/>
  </r>
  <r>
    <n v="135"/>
    <s v="C32"/>
    <x v="11"/>
    <x v="0"/>
    <s v="REMILL"/>
    <x v="2"/>
    <x v="0"/>
    <x v="1"/>
  </r>
  <r>
    <n v="136"/>
    <s v="B32"/>
    <x v="11"/>
    <x v="0"/>
    <s v="RESTACKING"/>
    <x v="2"/>
    <x v="0"/>
    <x v="1"/>
  </r>
  <r>
    <n v="140"/>
    <s v="C26"/>
    <x v="8"/>
    <x v="0"/>
    <s v="CONGKEL"/>
    <x v="2"/>
    <x v="0"/>
    <x v="1"/>
  </r>
  <r>
    <n v="149"/>
    <s v="C21"/>
    <x v="11"/>
    <x v="0"/>
    <s v="PISAHIN"/>
    <x v="2"/>
    <x v="0"/>
    <x v="1"/>
  </r>
  <r>
    <n v="172"/>
    <s v="B8"/>
    <x v="11"/>
    <x v="0"/>
    <s v="PISAHIN"/>
    <x v="2"/>
    <x v="0"/>
    <x v="1"/>
  </r>
  <r>
    <n v="48"/>
    <s v="C118"/>
    <x v="16"/>
    <x v="0"/>
    <s v="LENGKET"/>
    <x v="1"/>
    <x v="0"/>
    <x v="2"/>
  </r>
  <r>
    <n v="126"/>
    <s v="A14"/>
    <x v="16"/>
    <x v="0"/>
    <s v="PISAHIN"/>
    <x v="2"/>
    <x v="0"/>
    <x v="2"/>
  </r>
  <r>
    <n v="134"/>
    <s v="A8"/>
    <x v="17"/>
    <x v="0"/>
    <s v="RESTACKING"/>
    <x v="2"/>
    <x v="0"/>
    <x v="2"/>
  </r>
  <r>
    <n v="156"/>
    <s v="C17"/>
    <x v="18"/>
    <x v="0"/>
    <s v="PISAHIN"/>
    <x v="2"/>
    <x v="0"/>
    <x v="2"/>
  </r>
  <r>
    <n v="64"/>
    <s v="B86"/>
    <x v="19"/>
    <x v="0"/>
    <s v="CONGKEL (OK)"/>
    <x v="2"/>
    <x v="0"/>
    <x v="1"/>
  </r>
  <r>
    <n v="44"/>
    <s v="CF24"/>
    <x v="20"/>
    <x v="0"/>
    <s v="LENGKET"/>
    <x v="1"/>
    <x v="0"/>
    <x v="1"/>
  </r>
  <r>
    <n v="52"/>
    <s v="CF3"/>
    <x v="21"/>
    <x v="0"/>
    <s v="LENGKET"/>
    <x v="1"/>
    <x v="0"/>
    <x v="1"/>
  </r>
  <r>
    <n v="57"/>
    <s v="CF19"/>
    <x v="21"/>
    <x v="0"/>
    <s v="LENGKET"/>
    <x v="1"/>
    <x v="0"/>
    <x v="1"/>
  </r>
  <r>
    <n v="88"/>
    <s v="C37"/>
    <x v="21"/>
    <x v="0"/>
    <s v="RESTACKING"/>
    <x v="2"/>
    <x v="0"/>
    <x v="1"/>
  </r>
  <r>
    <n v="128"/>
    <s v="A13"/>
    <x v="21"/>
    <x v="0"/>
    <s v="JADIIN OS"/>
    <x v="2"/>
    <x v="0"/>
    <x v="1"/>
  </r>
  <r>
    <n v="70"/>
    <s v="B93"/>
    <x v="9"/>
    <x v="0"/>
    <s v="EXT"/>
    <x v="2"/>
    <x v="0"/>
    <x v="1"/>
  </r>
  <r>
    <n v="71"/>
    <s v="C93"/>
    <x v="9"/>
    <x v="0"/>
    <s v="EXT"/>
    <x v="2"/>
    <x v="0"/>
    <x v="1"/>
  </r>
  <r>
    <n v="86"/>
    <s v="C39"/>
    <x v="9"/>
    <x v="0"/>
    <s v="EXT"/>
    <x v="2"/>
    <x v="0"/>
    <x v="1"/>
  </r>
  <r>
    <n v="150"/>
    <s v="B21"/>
    <x v="21"/>
    <x v="0"/>
    <s v="GILING DI EXT"/>
    <x v="2"/>
    <x v="0"/>
    <x v="1"/>
  </r>
  <r>
    <n v="159"/>
    <s v="C15"/>
    <x v="21"/>
    <x v="0"/>
    <s v="GILING DI EXT"/>
    <x v="2"/>
    <x v="0"/>
    <x v="1"/>
  </r>
  <r>
    <n v="138"/>
    <s v="B31"/>
    <x v="9"/>
    <x v="0"/>
    <s v="POTONG-POTONG"/>
    <x v="2"/>
    <x v="0"/>
    <x v="1"/>
  </r>
  <r>
    <n v="32"/>
    <s v="CF18"/>
    <x v="17"/>
    <x v="1"/>
    <s v="LUMPY"/>
    <x v="0"/>
    <x v="0"/>
    <x v="2"/>
  </r>
  <r>
    <n v="35"/>
    <s v="BF16"/>
    <x v="22"/>
    <x v="1"/>
    <s v="SCRAP"/>
    <x v="0"/>
    <x v="0"/>
    <x v="3"/>
  </r>
  <r>
    <n v="42"/>
    <s v="OTR"/>
    <x v="23"/>
    <x v="1"/>
    <s v="LUMPY"/>
    <x v="0"/>
    <x v="0"/>
    <x v="1"/>
  </r>
  <r>
    <n v="46"/>
    <s v="CE13"/>
    <x v="17"/>
    <x v="1"/>
    <s v="FM"/>
    <x v="1"/>
    <x v="0"/>
    <x v="1"/>
  </r>
  <r>
    <n v="49"/>
    <s v="B15"/>
    <x v="8"/>
    <x v="1"/>
    <s v="LUMPY"/>
    <x v="1"/>
    <x v="0"/>
    <x v="1"/>
  </r>
  <r>
    <n v="50"/>
    <s v="B12"/>
    <x v="9"/>
    <x v="1"/>
    <s v="LUMPY"/>
    <x v="1"/>
    <x v="0"/>
    <x v="1"/>
  </r>
  <r>
    <n v="51"/>
    <s v="CE12"/>
    <x v="11"/>
    <x v="1"/>
    <s v="LUMPY"/>
    <x v="1"/>
    <x v="0"/>
    <x v="1"/>
  </r>
  <r>
    <n v="55"/>
    <s v="BE2"/>
    <x v="7"/>
    <x v="1"/>
    <s v="LUMPY"/>
    <x v="1"/>
    <x v="0"/>
    <x v="1"/>
  </r>
  <r>
    <n v="56"/>
    <s v="BE3"/>
    <x v="23"/>
    <x v="1"/>
    <s v="LUMPY"/>
    <x v="1"/>
    <x v="0"/>
    <x v="1"/>
  </r>
  <r>
    <n v="59"/>
    <s v="OTR"/>
    <x v="23"/>
    <x v="1"/>
    <s v="LUMPY"/>
    <x v="1"/>
    <x v="0"/>
    <x v="1"/>
  </r>
  <r>
    <n v="60"/>
    <s v="CF21"/>
    <x v="20"/>
    <x v="1"/>
    <s v="SCRAP"/>
    <x v="1"/>
    <x v="0"/>
    <x v="1"/>
  </r>
  <r>
    <n v="72"/>
    <s v="C92"/>
    <x v="24"/>
    <x v="1"/>
    <s v="SCRAP"/>
    <x v="2"/>
    <x v="0"/>
    <x v="1"/>
  </r>
  <r>
    <n v="80"/>
    <s v="B120"/>
    <x v="12"/>
    <x v="1"/>
    <s v="SCRAP"/>
    <x v="2"/>
    <x v="0"/>
    <x v="1"/>
  </r>
  <r>
    <n v="83"/>
    <s v="B119"/>
    <x v="11"/>
    <x v="1"/>
    <s v="SCRAP"/>
    <x v="2"/>
    <x v="0"/>
    <x v="1"/>
  </r>
  <r>
    <n v="91"/>
    <s v="A37"/>
    <x v="8"/>
    <x v="1"/>
    <s v="SCRAP"/>
    <x v="2"/>
    <x v="0"/>
    <x v="1"/>
  </r>
  <r>
    <n v="96"/>
    <s v="A34"/>
    <x v="8"/>
    <x v="1"/>
    <s v="SCRAP (COBA GILING EXT)"/>
    <x v="2"/>
    <x v="0"/>
    <x v="1"/>
  </r>
  <r>
    <n v="103"/>
    <s v="C33"/>
    <x v="11"/>
    <x v="1"/>
    <s v="SCRAP"/>
    <x v="2"/>
    <x v="0"/>
    <x v="1"/>
  </r>
  <r>
    <n v="47"/>
    <s v="BE13"/>
    <x v="21"/>
    <x v="1"/>
    <s v="LUMPY"/>
    <x v="1"/>
    <x v="0"/>
    <x v="1"/>
  </r>
  <r>
    <n v="115"/>
    <s v="A27"/>
    <x v="25"/>
    <x v="1"/>
    <s v="SCRAP"/>
    <x v="2"/>
    <x v="0"/>
    <x v="2"/>
  </r>
  <r>
    <n v="1"/>
    <s v="A103"/>
    <x v="26"/>
    <x v="1"/>
    <s v="SCRAP"/>
    <x v="2"/>
    <x v="0"/>
    <x v="0"/>
  </r>
  <r>
    <n v="117"/>
    <s v="C27"/>
    <x v="11"/>
    <x v="1"/>
    <s v="SCRAP"/>
    <x v="2"/>
    <x v="0"/>
    <x v="1"/>
  </r>
  <r>
    <n v="2"/>
    <s v="B103"/>
    <x v="26"/>
    <x v="1"/>
    <s v="SCRAP"/>
    <x v="2"/>
    <x v="0"/>
    <x v="0"/>
  </r>
  <r>
    <n v="3"/>
    <s v="A105"/>
    <x v="26"/>
    <x v="1"/>
    <s v="SCRAP"/>
    <x v="2"/>
    <x v="0"/>
    <x v="0"/>
  </r>
  <r>
    <n v="120"/>
    <s v="A22"/>
    <x v="15"/>
    <x v="1"/>
    <s v="SCRAP"/>
    <x v="2"/>
    <x v="0"/>
    <x v="1"/>
  </r>
  <r>
    <n v="122"/>
    <s v="A20"/>
    <x v="11"/>
    <x v="1"/>
    <s v="SCRAP"/>
    <x v="2"/>
    <x v="0"/>
    <x v="1"/>
  </r>
  <r>
    <n v="123"/>
    <s v="A18"/>
    <x v="8"/>
    <x v="1"/>
    <s v="SCRAP"/>
    <x v="2"/>
    <x v="0"/>
    <x v="1"/>
  </r>
  <r>
    <n v="124"/>
    <s v="A17"/>
    <x v="10"/>
    <x v="1"/>
    <s v="SCRAP"/>
    <x v="2"/>
    <x v="0"/>
    <x v="1"/>
  </r>
  <r>
    <n v="4"/>
    <s v="B105"/>
    <x v="26"/>
    <x v="1"/>
    <s v="SCRAP"/>
    <x v="2"/>
    <x v="0"/>
    <x v="0"/>
  </r>
  <r>
    <n v="53"/>
    <s v="CE1"/>
    <x v="27"/>
    <x v="1"/>
    <s v="FORMAT BENANG"/>
    <x v="1"/>
    <x v="0"/>
    <x v="1"/>
  </r>
  <r>
    <n v="5"/>
    <s v="A106"/>
    <x v="26"/>
    <x v="1"/>
    <s v="SCRAP"/>
    <x v="2"/>
    <x v="0"/>
    <x v="0"/>
  </r>
  <r>
    <n v="132"/>
    <s v="A9"/>
    <x v="28"/>
    <x v="1"/>
    <s v="SCRAP"/>
    <x v="2"/>
    <x v="2"/>
    <x v="3"/>
  </r>
  <r>
    <n v="101"/>
    <s v="C35"/>
    <x v="21"/>
    <x v="1"/>
    <s v="SCRAP"/>
    <x v="2"/>
    <x v="0"/>
    <x v="1"/>
  </r>
  <r>
    <n v="6"/>
    <s v="B106"/>
    <x v="26"/>
    <x v="1"/>
    <s v="SCRAP"/>
    <x v="2"/>
    <x v="0"/>
    <x v="0"/>
  </r>
  <r>
    <n v="7"/>
    <s v="C106"/>
    <x v="26"/>
    <x v="1"/>
    <s v="SCRAP"/>
    <x v="2"/>
    <x v="0"/>
    <x v="0"/>
  </r>
  <r>
    <n v="141"/>
    <s v="B25"/>
    <x v="22"/>
    <x v="1"/>
    <s v="SCRAP"/>
    <x v="2"/>
    <x v="0"/>
    <x v="3"/>
  </r>
  <r>
    <n v="8"/>
    <s v="A108"/>
    <x v="26"/>
    <x v="1"/>
    <s v="SCRAP"/>
    <x v="2"/>
    <x v="0"/>
    <x v="0"/>
  </r>
  <r>
    <n v="9"/>
    <s v="B108"/>
    <x v="26"/>
    <x v="1"/>
    <s v="SCRAP"/>
    <x v="2"/>
    <x v="0"/>
    <x v="0"/>
  </r>
  <r>
    <n v="10"/>
    <s v="C108"/>
    <x v="26"/>
    <x v="1"/>
    <s v="SCRAP"/>
    <x v="2"/>
    <x v="0"/>
    <x v="0"/>
  </r>
  <r>
    <n v="28"/>
    <s v="OTR"/>
    <x v="0"/>
    <x v="1"/>
    <s v="LUMPY"/>
    <x v="0"/>
    <x v="0"/>
    <x v="0"/>
  </r>
  <r>
    <n v="104"/>
    <s v="B33"/>
    <x v="27"/>
    <x v="1"/>
    <s v="SCRAP"/>
    <x v="2"/>
    <x v="0"/>
    <x v="1"/>
  </r>
  <r>
    <n v="31"/>
    <s v="BE16"/>
    <x v="0"/>
    <x v="1"/>
    <s v="LUMPY"/>
    <x v="0"/>
    <x v="0"/>
    <x v="0"/>
  </r>
  <r>
    <n v="33"/>
    <s v="CF17"/>
    <x v="1"/>
    <x v="1"/>
    <s v="SCRAP"/>
    <x v="0"/>
    <x v="0"/>
    <x v="0"/>
  </r>
  <r>
    <n v="133"/>
    <s v="A7"/>
    <x v="21"/>
    <x v="1"/>
    <s v="SCRAP"/>
    <x v="2"/>
    <x v="0"/>
    <x v="3"/>
  </r>
  <r>
    <n v="34"/>
    <s v="CF16"/>
    <x v="1"/>
    <x v="1"/>
    <s v="SCRAP"/>
    <x v="0"/>
    <x v="0"/>
    <x v="0"/>
  </r>
  <r>
    <n v="38"/>
    <s v="AF16"/>
    <x v="0"/>
    <x v="1"/>
    <s v="LUMPY"/>
    <x v="0"/>
    <x v="0"/>
    <x v="0"/>
  </r>
  <r>
    <n v="39"/>
    <s v="AF17"/>
    <x v="1"/>
    <x v="1"/>
    <s v="LUMPY"/>
    <x v="0"/>
    <x v="0"/>
    <x v="0"/>
  </r>
  <r>
    <n v="154"/>
    <s v="B18"/>
    <x v="8"/>
    <x v="1"/>
    <s v="SCRAP"/>
    <x v="2"/>
    <x v="0"/>
    <x v="3"/>
  </r>
  <r>
    <n v="146"/>
    <s v="C23"/>
    <x v="21"/>
    <x v="1"/>
    <s v="SCRAP"/>
    <x v="2"/>
    <x v="0"/>
    <x v="3"/>
  </r>
  <r>
    <n v="40"/>
    <s v="AF18"/>
    <x v="1"/>
    <x v="1"/>
    <s v="LUMPY"/>
    <x v="0"/>
    <x v="0"/>
    <x v="0"/>
  </r>
  <r>
    <n v="66"/>
    <s v="C91"/>
    <x v="10"/>
    <x v="1"/>
    <s v="SCRAP"/>
    <x v="2"/>
    <x v="0"/>
    <x v="0"/>
  </r>
  <r>
    <n v="155"/>
    <s v="C18"/>
    <x v="21"/>
    <x v="1"/>
    <s v="SCRAP"/>
    <x v="2"/>
    <x v="2"/>
    <x v="3"/>
  </r>
  <r>
    <n v="160"/>
    <s v="B15"/>
    <x v="10"/>
    <x v="1"/>
    <s v="SCRAP"/>
    <x v="2"/>
    <x v="2"/>
    <x v="3"/>
  </r>
  <r>
    <n v="82"/>
    <s v="C118"/>
    <x v="29"/>
    <x v="1"/>
    <s v="G (SCRAP)"/>
    <x v="2"/>
    <x v="0"/>
    <x v="0"/>
  </r>
  <r>
    <n v="84"/>
    <s v="C120"/>
    <x v="29"/>
    <x v="1"/>
    <s v="SCRAP (COBA GILING EXT)"/>
    <x v="2"/>
    <x v="0"/>
    <x v="0"/>
  </r>
  <r>
    <n v="163"/>
    <s v="C13"/>
    <x v="21"/>
    <x v="1"/>
    <s v="SCRAP"/>
    <x v="2"/>
    <x v="0"/>
    <x v="3"/>
  </r>
  <r>
    <n v="85"/>
    <s v="LUAR RAK"/>
    <x v="30"/>
    <x v="1"/>
    <s v="SCRAP"/>
    <x v="2"/>
    <x v="0"/>
    <x v="0"/>
  </r>
  <r>
    <n v="89"/>
    <s v="B39"/>
    <x v="31"/>
    <x v="1"/>
    <s v="SCRAP"/>
    <x v="2"/>
    <x v="2"/>
    <x v="0"/>
  </r>
  <r>
    <n v="167"/>
    <s v="C10"/>
    <x v="10"/>
    <x v="1"/>
    <s v="SCRAP"/>
    <x v="2"/>
    <x v="2"/>
    <x v="3"/>
  </r>
  <r>
    <n v="168"/>
    <s v="B12"/>
    <x v="21"/>
    <x v="1"/>
    <s v="SCRAP"/>
    <x v="2"/>
    <x v="2"/>
    <x v="3"/>
  </r>
  <r>
    <n v="92"/>
    <s v="A38"/>
    <x v="28"/>
    <x v="1"/>
    <s v="SCRAP"/>
    <x v="2"/>
    <x v="0"/>
    <x v="0"/>
  </r>
  <r>
    <n v="94"/>
    <s v="A36"/>
    <x v="5"/>
    <x v="1"/>
    <s v="SCRAP"/>
    <x v="2"/>
    <x v="0"/>
    <x v="0"/>
  </r>
  <r>
    <n v="109"/>
    <s v="A33"/>
    <x v="28"/>
    <x v="1"/>
    <s v="SCRAP"/>
    <x v="2"/>
    <x v="0"/>
    <x v="0"/>
  </r>
  <r>
    <n v="110"/>
    <s v="B32"/>
    <x v="10"/>
    <x v="1"/>
    <s v="LUMPY SCRAP"/>
    <x v="2"/>
    <x v="0"/>
    <x v="0"/>
  </r>
  <r>
    <n v="113"/>
    <s v="A28"/>
    <x v="10"/>
    <x v="1"/>
    <s v="SCRAP"/>
    <x v="2"/>
    <x v="0"/>
    <x v="0"/>
  </r>
  <r>
    <n v="118"/>
    <s v="A24"/>
    <x v="0"/>
    <x v="1"/>
    <s v="SCRAP"/>
    <x v="2"/>
    <x v="0"/>
    <x v="0"/>
  </r>
  <r>
    <n v="127"/>
    <s v="A15"/>
    <x v="0"/>
    <x v="1"/>
    <s v="SCRAP"/>
    <x v="2"/>
    <x v="0"/>
    <x v="0"/>
  </r>
  <r>
    <n v="157"/>
    <s v="B17"/>
    <x v="1"/>
    <x v="1"/>
    <s v="SCRAP"/>
    <x v="2"/>
    <x v="0"/>
    <x v="0"/>
  </r>
  <r>
    <n v="158"/>
    <s v="B16"/>
    <x v="1"/>
    <x v="1"/>
    <s v="SCRAP"/>
    <x v="2"/>
    <x v="0"/>
    <x v="0"/>
  </r>
  <r>
    <n v="177"/>
    <s v="RAK MERAH"/>
    <x v="29"/>
    <x v="1"/>
    <s v="SCRAP"/>
    <x v="2"/>
    <x v="0"/>
    <x v="0"/>
  </r>
  <r>
    <n v="178"/>
    <s v="RAK MERAH"/>
    <x v="29"/>
    <x v="1"/>
    <s v="SCRAP"/>
    <x v="2"/>
    <x v="0"/>
    <x v="0"/>
  </r>
  <r>
    <n v="179"/>
    <s v="RAK MERAH"/>
    <x v="29"/>
    <x v="1"/>
    <s v="SCRAP"/>
    <x v="2"/>
    <x v="0"/>
    <x v="0"/>
  </r>
  <r>
    <n v="180"/>
    <s v="RAK MERAH"/>
    <x v="29"/>
    <x v="1"/>
    <s v="SCRAP"/>
    <x v="2"/>
    <x v="0"/>
    <x v="0"/>
  </r>
  <r>
    <n v="181"/>
    <s v="RAK MERAH"/>
    <x v="29"/>
    <x v="1"/>
    <s v="SCRAP"/>
    <x v="2"/>
    <x v="0"/>
    <x v="0"/>
  </r>
  <r>
    <n v="182"/>
    <s v="RAK MERAH"/>
    <x v="29"/>
    <x v="1"/>
    <s v="SCRAP"/>
    <x v="2"/>
    <x v="0"/>
    <x v="0"/>
  </r>
  <r>
    <n v="183"/>
    <s v="RAK MERAH"/>
    <x v="29"/>
    <x v="1"/>
    <s v="SCRAP"/>
    <x v="2"/>
    <x v="0"/>
    <x v="0"/>
  </r>
  <r>
    <n v="186"/>
    <s v="RAK MERAH"/>
    <x v="25"/>
    <x v="1"/>
    <s v="SCRAP"/>
    <x v="2"/>
    <x v="0"/>
    <x v="3"/>
  </r>
  <r>
    <n v="187"/>
    <s v="RAK MERAH"/>
    <x v="25"/>
    <x v="1"/>
    <s v="SCRAP"/>
    <x v="2"/>
    <x v="0"/>
    <x v="3"/>
  </r>
  <r>
    <n v="188"/>
    <s v="RAK MERAH"/>
    <x v="25"/>
    <x v="1"/>
    <s v="SCRAP"/>
    <x v="2"/>
    <x v="0"/>
    <x v="3"/>
  </r>
  <r>
    <n v="189"/>
    <s v="RAK MERAH"/>
    <x v="25"/>
    <x v="1"/>
    <s v="SCRAP"/>
    <x v="2"/>
    <x v="0"/>
    <x v="3"/>
  </r>
  <r>
    <n v="190"/>
    <s v="RAK MERAH"/>
    <x v="25"/>
    <x v="1"/>
    <s v="SCRAP"/>
    <x v="2"/>
    <x v="0"/>
    <x v="3"/>
  </r>
  <r>
    <n v="191"/>
    <s v="RAK MERAH"/>
    <x v="25"/>
    <x v="1"/>
    <s v="SCRAP"/>
    <x v="2"/>
    <x v="0"/>
    <x v="3"/>
  </r>
  <r>
    <n v="192"/>
    <s v="RAK MERAH"/>
    <x v="25"/>
    <x v="1"/>
    <s v="SCRAP"/>
    <x v="2"/>
    <x v="0"/>
    <x v="3"/>
  </r>
  <r>
    <n v="193"/>
    <s v="RAK MERAH"/>
    <x v="25"/>
    <x v="1"/>
    <s v="SCRAP"/>
    <x v="2"/>
    <x v="0"/>
    <x v="3"/>
  </r>
  <r>
    <n v="194"/>
    <s v="RAK MERAH"/>
    <x v="25"/>
    <x v="1"/>
    <s v="SCRAP"/>
    <x v="2"/>
    <x v="0"/>
    <x v="3"/>
  </r>
  <r>
    <n v="195"/>
    <s v="RAK MERAH"/>
    <x v="25"/>
    <x v="1"/>
    <s v="SCRAP"/>
    <x v="2"/>
    <x v="0"/>
    <x v="3"/>
  </r>
  <r>
    <n v="196"/>
    <s v="RAK MERAH"/>
    <x v="25"/>
    <x v="1"/>
    <s v="SCRAP"/>
    <x v="2"/>
    <x v="0"/>
    <x v="3"/>
  </r>
  <r>
    <n v="184"/>
    <s v="RAK MERAH"/>
    <x v="29"/>
    <x v="1"/>
    <s v="SCRAP"/>
    <x v="2"/>
    <x v="0"/>
    <x v="0"/>
  </r>
  <r>
    <n v="185"/>
    <s v="RAK MERAH"/>
    <x v="29"/>
    <x v="1"/>
    <s v="SCRAP"/>
    <x v="2"/>
    <x v="0"/>
    <x v="0"/>
  </r>
  <r>
    <n v="197"/>
    <s v="RAK MERAH"/>
    <x v="0"/>
    <x v="1"/>
    <s v="SCRAP"/>
    <x v="2"/>
    <x v="0"/>
    <x v="0"/>
  </r>
  <r>
    <n v="198"/>
    <s v="RAK MERAH"/>
    <x v="0"/>
    <x v="1"/>
    <s v="SCRAP"/>
    <x v="2"/>
    <x v="0"/>
    <x v="0"/>
  </r>
  <r>
    <n v="199"/>
    <s v="RAK MERAH"/>
    <x v="0"/>
    <x v="1"/>
    <s v="SCRAP"/>
    <x v="2"/>
    <x v="0"/>
    <x v="0"/>
  </r>
  <r>
    <n v="200"/>
    <s v="RAK MERAH"/>
    <x v="0"/>
    <x v="1"/>
    <s v="SCRAP"/>
    <x v="2"/>
    <x v="0"/>
    <x v="0"/>
  </r>
  <r>
    <n v="201"/>
    <s v="RAK MERAH"/>
    <x v="0"/>
    <x v="1"/>
    <s v="SCRAP"/>
    <x v="2"/>
    <x v="0"/>
    <x v="0"/>
  </r>
  <r>
    <n v="202"/>
    <s v="RAK MERAH"/>
    <x v="0"/>
    <x v="1"/>
    <s v="SCRAP"/>
    <x v="2"/>
    <x v="0"/>
    <x v="0"/>
  </r>
  <r>
    <n v="203"/>
    <s v="RAK MERAH"/>
    <x v="0"/>
    <x v="1"/>
    <s v="SCRAP"/>
    <x v="2"/>
    <x v="0"/>
    <x v="0"/>
  </r>
  <r>
    <n v="204"/>
    <s v="RAK MERAH"/>
    <x v="0"/>
    <x v="1"/>
    <s v="SCRAP"/>
    <x v="2"/>
    <x v="0"/>
    <x v="0"/>
  </r>
  <r>
    <n v="205"/>
    <s v="RAK MERAH"/>
    <x v="0"/>
    <x v="1"/>
    <s v="SCRAP"/>
    <x v="2"/>
    <x v="0"/>
    <x v="0"/>
  </r>
  <r>
    <n v="206"/>
    <s v="RAK MERAH"/>
    <x v="29"/>
    <x v="1"/>
    <s v="SCRAP"/>
    <x v="2"/>
    <x v="0"/>
    <x v="0"/>
  </r>
  <r>
    <n v="207"/>
    <s v="RAK MERAH"/>
    <x v="29"/>
    <x v="1"/>
    <s v="SCRAP"/>
    <x v="2"/>
    <x v="0"/>
    <x v="0"/>
  </r>
  <r>
    <n v="208"/>
    <s v="RAK MERAH"/>
    <x v="29"/>
    <x v="1"/>
    <s v="SCRAP"/>
    <x v="2"/>
    <x v="0"/>
    <x v="0"/>
  </r>
  <r>
    <n v="209"/>
    <s v="RAK MERAH"/>
    <x v="29"/>
    <x v="1"/>
    <s v="SCRAP"/>
    <x v="2"/>
    <x v="0"/>
    <x v="0"/>
  </r>
  <r>
    <n v="212"/>
    <s v="RAK MERAH"/>
    <x v="32"/>
    <x v="1"/>
    <s v="SCRAP"/>
    <x v="2"/>
    <x v="0"/>
    <x v="3"/>
  </r>
  <r>
    <n v="213"/>
    <s v="LANTAI"/>
    <x v="11"/>
    <x v="1"/>
    <s v="SCRAP"/>
    <x v="3"/>
    <x v="0"/>
    <x v="3"/>
  </r>
  <r>
    <n v="214"/>
    <s v="LANTAI"/>
    <x v="11"/>
    <x v="1"/>
    <s v="SCRAP"/>
    <x v="3"/>
    <x v="0"/>
    <x v="3"/>
  </r>
  <r>
    <n v="215"/>
    <s v="LANTAI"/>
    <x v="11"/>
    <x v="1"/>
    <s v="SCRAP"/>
    <x v="3"/>
    <x v="0"/>
    <x v="3"/>
  </r>
  <r>
    <n v="216"/>
    <s v="LANTAI"/>
    <x v="11"/>
    <x v="1"/>
    <s v="SCRAP"/>
    <x v="3"/>
    <x v="0"/>
    <x v="3"/>
  </r>
  <r>
    <n v="210"/>
    <s v="RAK MERAH"/>
    <x v="29"/>
    <x v="1"/>
    <s v="SCRAP"/>
    <x v="2"/>
    <x v="0"/>
    <x v="0"/>
  </r>
  <r>
    <n v="54"/>
    <s v="CE2"/>
    <x v="27"/>
    <x v="1"/>
    <s v="LUMPY (OK)"/>
    <x v="1"/>
    <x v="0"/>
    <x v="1"/>
  </r>
  <r>
    <n v="211"/>
    <s v="RAK MERAH"/>
    <x v="29"/>
    <x v="1"/>
    <s v="SCRAP"/>
    <x v="2"/>
    <x v="0"/>
    <x v="0"/>
  </r>
  <r>
    <n v="217"/>
    <s v="LANTAI"/>
    <x v="1"/>
    <x v="1"/>
    <s v="SCRAP"/>
    <x v="3"/>
    <x v="0"/>
    <x v="0"/>
  </r>
  <r>
    <m/>
    <m/>
    <x v="7"/>
    <x v="2"/>
    <m/>
    <x v="4"/>
    <x v="0"/>
    <x v="3"/>
  </r>
  <r>
    <m/>
    <m/>
    <x v="7"/>
    <x v="2"/>
    <m/>
    <x v="4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n v="1"/>
    <n v="130"/>
    <n v="130"/>
    <x v="0"/>
    <x v="0"/>
    <s v="RESTACKING"/>
    <s v="FIFO"/>
    <m/>
    <m/>
    <s v="N/A"/>
    <x v="0"/>
    <s v="EXT"/>
    <x v="0"/>
    <n v="1"/>
  </r>
  <r>
    <n v="2"/>
    <n v="191"/>
    <n v="164"/>
    <x v="1"/>
    <x v="1"/>
    <s v="SCRAP"/>
    <s v="FIFO"/>
    <m/>
    <m/>
    <n v="835"/>
    <x v="1"/>
    <s v="MIXING"/>
    <x v="0"/>
    <n v="1"/>
  </r>
  <r>
    <n v="3"/>
    <n v="198"/>
    <n v="165"/>
    <x v="2"/>
    <x v="1"/>
    <s v="SCRAP"/>
    <s v="FIFO"/>
    <m/>
    <m/>
    <n v="235"/>
    <x v="1"/>
    <s v="MIXING"/>
    <x v="0"/>
    <n v="1"/>
  </r>
  <r>
    <n v="4"/>
    <n v="79"/>
    <s v="4ROLL"/>
    <x v="2"/>
    <x v="0"/>
    <s v="ODS"/>
    <s v="FIFO"/>
    <m/>
    <m/>
    <n v="732"/>
    <x v="1"/>
    <s v="CALCUT"/>
    <x v="1"/>
    <n v="1"/>
  </r>
  <r>
    <n v="5"/>
    <n v="180"/>
    <s v="4ROLL"/>
    <x v="2"/>
    <x v="0"/>
    <s v="GILING DI 4ROLL"/>
    <s v="FIFO"/>
    <m/>
    <m/>
    <n v="647"/>
    <x v="1"/>
    <s v="CALCUT"/>
    <x v="1"/>
    <n v="1"/>
  </r>
  <r>
    <n v="6"/>
    <n v="13"/>
    <s v="A1"/>
    <x v="3"/>
    <x v="1"/>
    <s v="SCRAP"/>
    <s v="FIFO"/>
    <n v="1067"/>
    <n v="125"/>
    <n v="942"/>
    <x v="2"/>
    <s v="MIXING"/>
    <x v="0"/>
    <n v="1"/>
  </r>
  <r>
    <n v="7"/>
    <n v="10"/>
    <s v="A104"/>
    <x v="4"/>
    <x v="1"/>
    <s v="SCRAP"/>
    <s v="FIFO"/>
    <m/>
    <m/>
    <n v="848"/>
    <x v="2"/>
    <s v="MIXING"/>
    <x v="0"/>
    <n v="1"/>
  </r>
  <r>
    <n v="8"/>
    <n v="8"/>
    <s v="A105"/>
    <x v="4"/>
    <x v="1"/>
    <s v="SCRAP"/>
    <s v="FIFO"/>
    <m/>
    <m/>
    <n v="1132"/>
    <x v="2"/>
    <s v="MIXING"/>
    <x v="0"/>
    <n v="1"/>
  </r>
  <r>
    <n v="9"/>
    <n v="6"/>
    <s v="A107"/>
    <x v="5"/>
    <x v="1"/>
    <s v="SCRAP"/>
    <s v="FIFO"/>
    <m/>
    <m/>
    <n v="666"/>
    <x v="2"/>
    <s v="MIXING"/>
    <x v="0"/>
    <n v="1"/>
  </r>
  <r>
    <n v="10"/>
    <n v="4"/>
    <s v="A108"/>
    <x v="5"/>
    <x v="1"/>
    <s v="SCRAP"/>
    <s v="FIFO"/>
    <m/>
    <m/>
    <n v="943"/>
    <x v="2"/>
    <s v="MIXING"/>
    <x v="0"/>
    <n v="1"/>
  </r>
  <r>
    <n v="11"/>
    <n v="82"/>
    <s v="A11"/>
    <x v="2"/>
    <x v="0"/>
    <s v="GILING DI 4ROLL"/>
    <s v="FIFO"/>
    <m/>
    <m/>
    <n v="460"/>
    <x v="3"/>
    <s v="CALCUT"/>
    <x v="1"/>
    <n v="1"/>
  </r>
  <r>
    <n v="12"/>
    <n v="71"/>
    <s v="A14"/>
    <x v="6"/>
    <x v="0"/>
    <s v="GILING DI EXT"/>
    <s v="FIFO"/>
    <m/>
    <m/>
    <n v="288"/>
    <x v="4"/>
    <s v="EXT"/>
    <x v="2"/>
    <n v="1"/>
  </r>
  <r>
    <n v="13"/>
    <n v="82"/>
    <s v="B11"/>
    <x v="1"/>
    <x v="0"/>
    <s v="GILING DI EXT"/>
    <s v="FIFO"/>
    <m/>
    <m/>
    <n v="533"/>
    <x v="5"/>
    <s v="EXT"/>
    <x v="0"/>
    <n v="1"/>
  </r>
  <r>
    <n v="14"/>
    <n v="275"/>
    <s v="A17"/>
    <x v="7"/>
    <x v="0"/>
    <s v="GILING DI EXT"/>
    <s v="FIFO"/>
    <m/>
    <m/>
    <n v="574"/>
    <x v="4"/>
    <s v="MIXING"/>
    <x v="2"/>
    <n v="1"/>
  </r>
  <r>
    <n v="15"/>
    <n v="45"/>
    <s v="B15"/>
    <x v="1"/>
    <x v="1"/>
    <s v="GILING DI EXT"/>
    <s v="FIFO"/>
    <m/>
    <m/>
    <n v="145"/>
    <x v="2"/>
    <s v="EXT"/>
    <x v="0"/>
    <n v="1"/>
  </r>
  <r>
    <n v="16"/>
    <n v="23"/>
    <s v="B16"/>
    <x v="8"/>
    <x v="0"/>
    <s v="CONGKEL"/>
    <s v="FIFO"/>
    <n v="361"/>
    <n v="66"/>
    <n v="295"/>
    <x v="5"/>
    <s v="MIXING"/>
    <x v="0"/>
    <n v="1"/>
  </r>
  <r>
    <n v="17"/>
    <n v="26"/>
    <s v="A2"/>
    <x v="3"/>
    <x v="1"/>
    <s v="SCRAP"/>
    <s v="FIFO"/>
    <n v="1095"/>
    <n v="125"/>
    <n v="970"/>
    <x v="2"/>
    <s v="MIXING"/>
    <x v="0"/>
    <n v="1"/>
  </r>
  <r>
    <n v="18"/>
    <n v="279"/>
    <s v="B17"/>
    <x v="9"/>
    <x v="0"/>
    <s v="RESTACKING"/>
    <s v="FIFO"/>
    <m/>
    <m/>
    <n v="298"/>
    <x v="6"/>
    <s v="MIXING"/>
    <x v="0"/>
    <n v="1"/>
  </r>
  <r>
    <n v="19"/>
    <n v="271"/>
    <s v="A21"/>
    <x v="10"/>
    <x v="0"/>
    <s v="CONGKEL"/>
    <s v="FIFO"/>
    <m/>
    <m/>
    <n v="562"/>
    <x v="4"/>
    <s v="MIXING"/>
    <x v="0"/>
    <n v="1"/>
  </r>
  <r>
    <n v="20"/>
    <n v="19"/>
    <s v="B18"/>
    <x v="8"/>
    <x v="0"/>
    <s v="CONGKEL"/>
    <s v="FIFO"/>
    <n v="415"/>
    <n v="88"/>
    <n v="327"/>
    <x v="5"/>
    <s v="MIXING"/>
    <x v="0"/>
    <n v="1"/>
  </r>
  <r>
    <n v="21"/>
    <n v="18"/>
    <s v="A22"/>
    <x v="3"/>
    <x v="0"/>
    <s v="SEGREGASI"/>
    <s v="FIFO"/>
    <m/>
    <m/>
    <n v="274"/>
    <x v="7"/>
    <s v="MIXING"/>
    <x v="0"/>
    <n v="1"/>
  </r>
  <r>
    <n v="22"/>
    <n v="81"/>
    <s v="A23"/>
    <x v="11"/>
    <x v="0"/>
    <s v="REMILL"/>
    <s v="FIFO"/>
    <m/>
    <m/>
    <n v="285"/>
    <x v="2"/>
    <s v="MIXING"/>
    <x v="0"/>
    <n v="1"/>
  </r>
  <r>
    <n v="23"/>
    <n v="270"/>
    <s v="A23"/>
    <x v="12"/>
    <x v="0"/>
    <s v="CONGKEL"/>
    <s v="FIFO"/>
    <m/>
    <m/>
    <n v="353"/>
    <x v="8"/>
    <s v="MIXING"/>
    <x v="0"/>
    <n v="1"/>
  </r>
  <r>
    <n v="24"/>
    <n v="14"/>
    <s v="A24"/>
    <x v="3"/>
    <x v="1"/>
    <s v="SCRAP"/>
    <s v="FIFO"/>
    <m/>
    <m/>
    <n v="583"/>
    <x v="2"/>
    <s v="MIXING"/>
    <x v="0"/>
    <n v="1"/>
  </r>
  <r>
    <n v="25"/>
    <n v="9"/>
    <s v="A25"/>
    <x v="11"/>
    <x v="1"/>
    <s v="SCRAP"/>
    <s v="FIFO"/>
    <m/>
    <m/>
    <n v="498"/>
    <x v="2"/>
    <s v="MIXING"/>
    <x v="0"/>
    <n v="1"/>
  </r>
  <r>
    <n v="26"/>
    <s v="??"/>
    <s v="A26"/>
    <x v="3"/>
    <x v="0"/>
    <s v="RESTACKING"/>
    <s v="FIFO"/>
    <m/>
    <m/>
    <n v="164"/>
    <x v="7"/>
    <s v="MIXING"/>
    <x v="0"/>
    <n v="1"/>
  </r>
  <r>
    <n v="27"/>
    <n v="114"/>
    <s v="A26"/>
    <x v="13"/>
    <x v="0"/>
    <s v="POTONG-POTONG"/>
    <s v="FIFO"/>
    <m/>
    <m/>
    <s v="N/A"/>
    <x v="0"/>
    <s v="MIXING "/>
    <x v="0"/>
    <n v="1"/>
  </r>
  <r>
    <n v="28"/>
    <n v="161"/>
    <s v="A27"/>
    <x v="3"/>
    <x v="0"/>
    <s v="RESTACKING"/>
    <s v="FIFO"/>
    <m/>
    <m/>
    <n v="810"/>
    <x v="2"/>
    <s v="MIXING"/>
    <x v="0"/>
    <n v="1"/>
  </r>
  <r>
    <n v="29"/>
    <n v="69"/>
    <s v="A28"/>
    <x v="3"/>
    <x v="0"/>
    <s v="RESTACKING"/>
    <s v="FIFO"/>
    <m/>
    <m/>
    <n v="291"/>
    <x v="9"/>
    <s v="MIXING"/>
    <x v="0"/>
    <n v="1"/>
  </r>
  <r>
    <n v="30"/>
    <n v="6"/>
    <s v="A29"/>
    <x v="11"/>
    <x v="0"/>
    <s v="SEGREGASI"/>
    <s v="FIFO"/>
    <m/>
    <m/>
    <n v="195"/>
    <x v="9"/>
    <s v="MIXING"/>
    <x v="0"/>
    <n v="1"/>
  </r>
  <r>
    <n v="31"/>
    <n v="24"/>
    <s v="A3"/>
    <x v="3"/>
    <x v="1"/>
    <s v="SCRAP"/>
    <s v="FIFO"/>
    <n v="517"/>
    <n v="103"/>
    <n v="414"/>
    <x v="2"/>
    <s v="MIXING"/>
    <x v="0"/>
    <n v="1"/>
  </r>
  <r>
    <n v="32"/>
    <s v="??"/>
    <s v="A30"/>
    <x v="3"/>
    <x v="0"/>
    <s v="RESTACKING"/>
    <s v="FIFO"/>
    <m/>
    <m/>
    <s v="N/A"/>
    <x v="9"/>
    <s v="MIXING"/>
    <x v="3"/>
    <n v="1"/>
  </r>
  <r>
    <n v="33"/>
    <s v="??"/>
    <s v="A31"/>
    <x v="3"/>
    <x v="0"/>
    <s v="RESTACKING"/>
    <s v="FIFO"/>
    <m/>
    <m/>
    <s v="N/A"/>
    <x v="2"/>
    <s v="MIXING"/>
    <x v="0"/>
    <n v="1"/>
  </r>
  <r>
    <n v="34"/>
    <n v="278"/>
    <s v="A32"/>
    <x v="11"/>
    <x v="0"/>
    <s v="RESTACKING"/>
    <s v="FIFO"/>
    <m/>
    <m/>
    <n v="434"/>
    <x v="2"/>
    <s v="MIXING"/>
    <x v="0"/>
    <n v="1"/>
  </r>
  <r>
    <n v="35"/>
    <s v="??"/>
    <s v="A33"/>
    <x v="3"/>
    <x v="0"/>
    <s v="RESTACKING"/>
    <s v="FIFO"/>
    <m/>
    <m/>
    <s v="N/A"/>
    <x v="2"/>
    <s v="MIXING"/>
    <x v="3"/>
    <n v="1"/>
  </r>
  <r>
    <n v="36"/>
    <n v="201"/>
    <s v="A38"/>
    <x v="14"/>
    <x v="1"/>
    <s v="SCRAP"/>
    <s v="FIFO"/>
    <m/>
    <m/>
    <n v="574"/>
    <x v="1"/>
    <s v="EXT"/>
    <x v="0"/>
    <n v="1"/>
  </r>
  <r>
    <n v="37"/>
    <n v="36"/>
    <s v="A4"/>
    <x v="3"/>
    <x v="1"/>
    <s v="LUMPY"/>
    <s v="FIFO"/>
    <m/>
    <m/>
    <n v="441"/>
    <x v="2"/>
    <s v="MIXING"/>
    <x v="0"/>
    <n v="1"/>
  </r>
  <r>
    <n v="38"/>
    <n v="27"/>
    <s v="A5"/>
    <x v="3"/>
    <x v="1"/>
    <s v="RESTACKING"/>
    <s v="FIFO"/>
    <m/>
    <m/>
    <n v="290"/>
    <x v="2"/>
    <s v="MIXING"/>
    <x v="0"/>
    <n v="1"/>
  </r>
  <r>
    <n v="39"/>
    <n v="11"/>
    <s v="A50"/>
    <x v="3"/>
    <x v="1"/>
    <s v="SCRAP"/>
    <s v="FIFO"/>
    <m/>
    <m/>
    <n v="257"/>
    <x v="10"/>
    <s v="MIXING"/>
    <x v="0"/>
    <n v="1"/>
  </r>
  <r>
    <n v="40"/>
    <n v="95"/>
    <s v="A51"/>
    <x v="11"/>
    <x v="1"/>
    <s v="SCRAP"/>
    <s v="FIFO"/>
    <n v="378"/>
    <n v="66"/>
    <n v="312"/>
    <x v="11"/>
    <s v="MIXING"/>
    <x v="0"/>
    <n v="1"/>
  </r>
  <r>
    <n v="41"/>
    <n v="47"/>
    <s v="A52"/>
    <x v="9"/>
    <x v="1"/>
    <s v="SCRAP"/>
    <s v="FIFO"/>
    <m/>
    <m/>
    <n v="375"/>
    <x v="4"/>
    <s v="MIXING"/>
    <x v="4"/>
    <n v="1"/>
  </r>
  <r>
    <n v="42"/>
    <n v="225"/>
    <s v="A53"/>
    <x v="15"/>
    <x v="1"/>
    <s v="LUMPY PARAH"/>
    <s v="FIFO"/>
    <m/>
    <m/>
    <n v="469"/>
    <x v="5"/>
    <s v="MIXING"/>
    <x v="0"/>
    <n v="1"/>
  </r>
  <r>
    <n v="43"/>
    <n v="11"/>
    <s v="B56"/>
    <x v="16"/>
    <x v="1"/>
    <s v="SCRAP"/>
    <s v="FIFO"/>
    <n v="716"/>
    <n v="125"/>
    <n v="591"/>
    <x v="2"/>
    <s v="MIXING"/>
    <x v="0"/>
    <n v="1"/>
  </r>
  <r>
    <n v="44"/>
    <n v="14"/>
    <s v="A55"/>
    <x v="17"/>
    <x v="1"/>
    <s v="SCRAP"/>
    <s v="FIFO"/>
    <n v="866"/>
    <n v="103"/>
    <n v="763"/>
    <x v="6"/>
    <s v="EXT"/>
    <x v="0"/>
    <n v="1"/>
  </r>
  <r>
    <n v="45"/>
    <n v="9"/>
    <s v="A55"/>
    <x v="18"/>
    <x v="1"/>
    <s v="SCRAP"/>
    <s v="FIFO"/>
    <n v="550"/>
    <n v="66"/>
    <n v="484"/>
    <x v="6"/>
    <s v="EXT"/>
    <x v="0"/>
    <n v="1"/>
  </r>
  <r>
    <n v="46"/>
    <n v="134"/>
    <s v="A55"/>
    <x v="19"/>
    <x v="1"/>
    <s v="SCRAP"/>
    <s v="FIFO"/>
    <m/>
    <m/>
    <n v="399"/>
    <x v="9"/>
    <s v="MIXING"/>
    <x v="0"/>
    <n v="1"/>
  </r>
  <r>
    <n v="47"/>
    <n v="2"/>
    <s v="A6"/>
    <x v="3"/>
    <x v="1"/>
    <s v="SCRAP"/>
    <s v="FIFO"/>
    <m/>
    <m/>
    <n v="681"/>
    <x v="2"/>
    <s v="MIXING"/>
    <x v="0"/>
    <n v="1"/>
  </r>
  <r>
    <n v="48"/>
    <n v="69"/>
    <s v="A60"/>
    <x v="17"/>
    <x v="1"/>
    <s v="SCRAP"/>
    <s v="FIFO"/>
    <m/>
    <m/>
    <n v="373"/>
    <x v="12"/>
    <s v="MIXING"/>
    <x v="5"/>
    <n v="1"/>
  </r>
  <r>
    <n v="49"/>
    <n v="141"/>
    <s v="A55"/>
    <x v="1"/>
    <x v="1"/>
    <s v="SCRAP"/>
    <s v="FIFO"/>
    <m/>
    <m/>
    <n v="473"/>
    <x v="2"/>
    <s v="MIXING"/>
    <x v="0"/>
    <n v="1"/>
  </r>
  <r>
    <n v="50"/>
    <n v="143"/>
    <s v="A55"/>
    <x v="1"/>
    <x v="1"/>
    <s v="SCRAP"/>
    <s v="FIFO"/>
    <m/>
    <m/>
    <n v="746"/>
    <x v="2"/>
    <s v="MIXING"/>
    <x v="0"/>
    <n v="1"/>
  </r>
  <r>
    <n v="51"/>
    <n v="88"/>
    <s v="A55"/>
    <x v="20"/>
    <x v="1"/>
    <s v="SCRAP"/>
    <s v="FIFO"/>
    <m/>
    <m/>
    <n v="550"/>
    <x v="5"/>
    <s v="MIXING"/>
    <x v="0"/>
    <n v="1"/>
  </r>
  <r>
    <n v="52"/>
    <n v="89"/>
    <s v="A55"/>
    <x v="21"/>
    <x v="1"/>
    <s v="SCRAP"/>
    <s v="FIFO"/>
    <m/>
    <m/>
    <n v="273"/>
    <x v="5"/>
    <s v="MIXING"/>
    <x v="0"/>
    <n v="1"/>
  </r>
  <r>
    <n v="53"/>
    <n v="134"/>
    <s v="A8"/>
    <x v="15"/>
    <x v="0"/>
    <s v="RESTACKING"/>
    <s v="FIFO"/>
    <m/>
    <m/>
    <s v="N/A"/>
    <x v="0"/>
    <s v="CALCUT"/>
    <x v="0"/>
    <n v="1"/>
  </r>
  <r>
    <n v="54"/>
    <n v="65"/>
    <s v="A91"/>
    <x v="22"/>
    <x v="0"/>
    <s v="OK T16R5"/>
    <s v="FIFO"/>
    <m/>
    <m/>
    <s v="N/A"/>
    <x v="0"/>
    <s v="MIXING "/>
    <x v="0"/>
    <n v="1"/>
  </r>
  <r>
    <n v="55"/>
    <n v="27"/>
    <s v="B1"/>
    <x v="3"/>
    <x v="1"/>
    <s v="SCRAP"/>
    <s v="FIFO"/>
    <n v="959"/>
    <n v="125"/>
    <n v="834"/>
    <x v="2"/>
    <s v="MIXING"/>
    <x v="0"/>
    <n v="1"/>
  </r>
  <r>
    <n v="56"/>
    <n v="62"/>
    <s v="B10"/>
    <x v="4"/>
    <x v="0"/>
    <s v="SCRAP"/>
    <s v="FIFO"/>
    <m/>
    <m/>
    <n v="543"/>
    <x v="6"/>
    <s v="MIXING"/>
    <x v="0"/>
    <n v="1"/>
  </r>
  <r>
    <n v="57"/>
    <n v="9"/>
    <s v="B104"/>
    <x v="4"/>
    <x v="1"/>
    <s v="SCRAP"/>
    <s v="FIFO"/>
    <m/>
    <m/>
    <n v="1039"/>
    <x v="2"/>
    <s v="MIXING"/>
    <x v="0"/>
    <n v="1"/>
  </r>
  <r>
    <n v="58"/>
    <n v="7"/>
    <s v="B105"/>
    <x v="5"/>
    <x v="1"/>
    <s v="SCRAP"/>
    <s v="FIFO"/>
    <m/>
    <m/>
    <n v="553"/>
    <x v="2"/>
    <s v="MIXING"/>
    <x v="0"/>
    <n v="1"/>
  </r>
  <r>
    <n v="59"/>
    <n v="5"/>
    <s v="B107"/>
    <x v="5"/>
    <x v="1"/>
    <s v="SCRAP"/>
    <s v="FIFO"/>
    <m/>
    <m/>
    <n v="532"/>
    <x v="2"/>
    <s v="MIXING"/>
    <x v="0"/>
    <n v="1"/>
  </r>
  <r>
    <n v="60"/>
    <n v="3"/>
    <s v="B108"/>
    <x v="5"/>
    <x v="1"/>
    <s v="SCRAP"/>
    <s v="FIFO"/>
    <m/>
    <m/>
    <n v="1116"/>
    <x v="2"/>
    <s v="MIXING"/>
    <x v="0"/>
    <n v="1"/>
  </r>
  <r>
    <n v="61"/>
    <n v="56"/>
    <s v="B24"/>
    <x v="23"/>
    <x v="0"/>
    <s v="COBA GILING DI EXT"/>
    <s v="FIFO"/>
    <m/>
    <m/>
    <n v="151"/>
    <x v="10"/>
    <s v="EXT"/>
    <x v="0"/>
    <n v="1"/>
  </r>
  <r>
    <n v="62"/>
    <n v="79"/>
    <s v="B119"/>
    <x v="17"/>
    <x v="0"/>
    <s v="EXT"/>
    <s v="FIFO"/>
    <m/>
    <m/>
    <s v="N/A"/>
    <x v="0"/>
    <s v="EXT"/>
    <x v="6"/>
    <n v="1"/>
  </r>
  <r>
    <n v="63"/>
    <n v="83"/>
    <s v="B119"/>
    <x v="17"/>
    <x v="1"/>
    <s v="SCRAP"/>
    <s v="FIFO"/>
    <m/>
    <m/>
    <s v="N/A"/>
    <x v="3"/>
    <s v="EXT"/>
    <x v="0"/>
    <n v="1"/>
  </r>
  <r>
    <n v="64"/>
    <n v="39"/>
    <s v="B32"/>
    <x v="17"/>
    <x v="0"/>
    <s v="SEGREGASI"/>
    <s v="FIFO"/>
    <n v="941"/>
    <n v="113"/>
    <n v="828"/>
    <x v="13"/>
    <s v="EXT"/>
    <x v="0"/>
    <n v="1"/>
  </r>
  <r>
    <n v="65"/>
    <n v="158"/>
    <s v="A55"/>
    <x v="2"/>
    <x v="1"/>
    <s v="SCRAP"/>
    <s v="FIFO"/>
    <m/>
    <m/>
    <n v="390"/>
    <x v="2"/>
    <s v="MIXING"/>
    <x v="0"/>
    <n v="1"/>
  </r>
  <r>
    <n v="66"/>
    <n v="160"/>
    <s v="B15"/>
    <x v="24"/>
    <x v="1"/>
    <s v="SCRAP"/>
    <s v="FIFO"/>
    <m/>
    <m/>
    <s v="N/A"/>
    <x v="14"/>
    <s v="MIXING "/>
    <x v="0"/>
    <n v="1"/>
  </r>
  <r>
    <n v="67"/>
    <n v="81"/>
    <s v="B16"/>
    <x v="9"/>
    <x v="0"/>
    <s v="RESTACKING"/>
    <s v="FIFO"/>
    <m/>
    <m/>
    <n v="328"/>
    <x v="15"/>
    <s v="EXT"/>
    <x v="6"/>
    <n v="1"/>
  </r>
  <r>
    <n v="68"/>
    <n v="35"/>
    <s v="B33"/>
    <x v="24"/>
    <x v="0"/>
    <s v="PISAHIN"/>
    <s v="FIFO"/>
    <n v="573"/>
    <n v="125"/>
    <n v="448"/>
    <x v="16"/>
    <s v="MIXING"/>
    <x v="0"/>
    <n v="1"/>
  </r>
  <r>
    <n v="69"/>
    <n v="15"/>
    <s v="B36"/>
    <x v="17"/>
    <x v="0"/>
    <s v="PISAHIN"/>
    <s v="FIFO"/>
    <n v="266"/>
    <n v="84"/>
    <n v="182"/>
    <x v="16"/>
    <s v="EXT"/>
    <x v="0"/>
    <n v="1"/>
  </r>
  <r>
    <n v="70"/>
    <n v="16"/>
    <s v="B17"/>
    <x v="8"/>
    <x v="0"/>
    <s v="OK"/>
    <s v="FIFO"/>
    <n v="297"/>
    <n v="66"/>
    <n v="231"/>
    <x v="14"/>
    <s v="MIXING"/>
    <x v="0"/>
    <n v="1"/>
  </r>
  <r>
    <n v="71"/>
    <n v="13"/>
    <s v="B39"/>
    <x v="8"/>
    <x v="0"/>
    <s v="CONGKEL"/>
    <s v="FIFO"/>
    <n v="733"/>
    <n v="84"/>
    <n v="649"/>
    <x v="15"/>
    <s v="MIXING"/>
    <x v="0"/>
    <n v="1"/>
  </r>
  <r>
    <n v="72"/>
    <n v="125"/>
    <s v="B19"/>
    <x v="17"/>
    <x v="0"/>
    <s v="RESTACKING"/>
    <s v="FIFO"/>
    <n v="678"/>
    <n v="66"/>
    <n v="612"/>
    <x v="10"/>
    <s v="EXT"/>
    <x v="6"/>
    <n v="1"/>
  </r>
  <r>
    <n v="73"/>
    <n v="273"/>
    <s v="B19"/>
    <x v="17"/>
    <x v="0"/>
    <s v="CONGKEL"/>
    <s v="FIFO"/>
    <m/>
    <m/>
    <n v="649"/>
    <x v="15"/>
    <s v="MIXING"/>
    <x v="0"/>
    <n v="1"/>
  </r>
  <r>
    <n v="74"/>
    <n v="17"/>
    <s v="B2"/>
    <x v="3"/>
    <x v="1"/>
    <s v="SCRAP"/>
    <s v="FIFO"/>
    <n v="934"/>
    <n v="104"/>
    <n v="830"/>
    <x v="2"/>
    <s v="MIXING"/>
    <x v="0"/>
    <n v="1"/>
  </r>
  <r>
    <n v="75"/>
    <n v="31"/>
    <s v="B20"/>
    <x v="15"/>
    <x v="0"/>
    <s v="MILL DI 4ROLL"/>
    <s v="FIFO"/>
    <n v="960"/>
    <n v="87"/>
    <n v="873"/>
    <x v="1"/>
    <s v="CALCUT"/>
    <x v="0"/>
    <n v="1"/>
  </r>
  <r>
    <n v="76"/>
    <n v="59"/>
    <s v="B20"/>
    <x v="23"/>
    <x v="0"/>
    <s v="COBA GILING DI EXT"/>
    <s v="FIFO"/>
    <m/>
    <m/>
    <n v="226"/>
    <x v="10"/>
    <s v="EXT"/>
    <x v="0"/>
    <n v="1"/>
  </r>
  <r>
    <n v="77"/>
    <n v="150"/>
    <s v="B21"/>
    <x v="9"/>
    <x v="0"/>
    <s v="GILING DI EXT"/>
    <s v="FIFO"/>
    <n v="375"/>
    <n v="79"/>
    <n v="296"/>
    <x v="10"/>
    <s v="EXT"/>
    <x v="0"/>
    <n v="1"/>
  </r>
  <r>
    <n v="78"/>
    <n v="175"/>
    <s v="B22"/>
    <x v="3"/>
    <x v="0"/>
    <s v="RESTACKING"/>
    <s v="FIFO"/>
    <n v="318"/>
    <n v="66"/>
    <n v="252"/>
    <x v="5"/>
    <s v="MIXING"/>
    <x v="0"/>
    <n v="1"/>
  </r>
  <r>
    <n v="79"/>
    <n v="87"/>
    <s v="B23"/>
    <x v="11"/>
    <x v="0"/>
    <s v="CONGKEL"/>
    <s v="FIFO"/>
    <m/>
    <m/>
    <n v="366"/>
    <x v="7"/>
    <s v="MIXING"/>
    <x v="0"/>
    <n v="1"/>
  </r>
  <r>
    <n v="80"/>
    <n v="97"/>
    <s v="B23"/>
    <x v="3"/>
    <x v="0"/>
    <s v="RESTACKING"/>
    <s v="FIFO"/>
    <n v="472"/>
    <n v="84"/>
    <n v="388"/>
    <x v="15"/>
    <s v="MIXING"/>
    <x v="0"/>
    <n v="1"/>
  </r>
  <r>
    <n v="81"/>
    <n v="173"/>
    <s v="B24"/>
    <x v="3"/>
    <x v="0"/>
    <s v="REMILL"/>
    <s v="FIFO"/>
    <n v="1067"/>
    <n v="113"/>
    <n v="954"/>
    <x v="5"/>
    <s v="MIXING"/>
    <x v="0"/>
    <n v="1"/>
  </r>
  <r>
    <n v="82"/>
    <n v="84"/>
    <s v="B9"/>
    <x v="1"/>
    <x v="0"/>
    <s v="GILING DI EXT"/>
    <s v="FIFO"/>
    <m/>
    <m/>
    <n v="217"/>
    <x v="13"/>
    <s v="EXT"/>
    <x v="0"/>
    <n v="1"/>
  </r>
  <r>
    <n v="83"/>
    <n v="9"/>
    <s v="B25"/>
    <x v="11"/>
    <x v="0"/>
    <s v="RESTACKING"/>
    <s v="FIFO"/>
    <n v="225"/>
    <n v="66"/>
    <n v="159"/>
    <x v="2"/>
    <s v="MIXING"/>
    <x v="0"/>
    <n v="1"/>
  </r>
  <r>
    <n v="84"/>
    <n v="40"/>
    <s v="B26"/>
    <x v="11"/>
    <x v="0"/>
    <s v="CONGKEL"/>
    <s v="FIFO"/>
    <m/>
    <m/>
    <n v="758"/>
    <x v="2"/>
    <s v="MIXING"/>
    <x v="0"/>
    <n v="1"/>
  </r>
  <r>
    <n v="85"/>
    <n v="37"/>
    <s v="B27"/>
    <x v="11"/>
    <x v="0"/>
    <s v="RESTACKING"/>
    <s v="FIFO"/>
    <n v="458"/>
    <n v="87"/>
    <n v="371"/>
    <x v="2"/>
    <s v="MIXING"/>
    <x v="0"/>
    <n v="1"/>
  </r>
  <r>
    <n v="86"/>
    <n v="143"/>
    <s v="B27"/>
    <x v="24"/>
    <x v="0"/>
    <s v="RESTACKING"/>
    <s v="FIFO"/>
    <m/>
    <m/>
    <s v="N/A"/>
    <x v="0"/>
    <s v="MIXING "/>
    <x v="0"/>
    <n v="1"/>
  </r>
  <r>
    <n v="87"/>
    <n v="16"/>
    <s v="B28"/>
    <x v="3"/>
    <x v="0"/>
    <s v="CONGKEL"/>
    <s v="FIFO"/>
    <n v="417"/>
    <n v="87"/>
    <n v="330"/>
    <x v="7"/>
    <s v="MIXING"/>
    <x v="0"/>
    <n v="1"/>
  </r>
  <r>
    <n v="88"/>
    <n v="30"/>
    <s v="B29"/>
    <x v="3"/>
    <x v="0"/>
    <s v="REMILL"/>
    <s v="FIFO"/>
    <n v="862"/>
    <n v="66"/>
    <n v="796"/>
    <x v="2"/>
    <s v="MIXING"/>
    <x v="0"/>
    <n v="1"/>
  </r>
  <r>
    <n v="89"/>
    <n v="154"/>
    <s v="C49"/>
    <x v="11"/>
    <x v="1"/>
    <s v="REMILL"/>
    <s v="FIFO"/>
    <m/>
    <m/>
    <n v="773"/>
    <x v="2"/>
    <s v="MIXING"/>
    <x v="0"/>
    <n v="1"/>
  </r>
  <r>
    <n v="90"/>
    <n v="15"/>
    <s v="B3"/>
    <x v="3"/>
    <x v="1"/>
    <s v="SCRAP"/>
    <s v="FIFO"/>
    <n v="771"/>
    <n v="85"/>
    <n v="686"/>
    <x v="17"/>
    <s v="MIXING"/>
    <x v="7"/>
    <n v="1"/>
  </r>
  <r>
    <n v="91"/>
    <n v="24"/>
    <s v="B30"/>
    <x v="3"/>
    <x v="0"/>
    <s v="SEGREGASI"/>
    <s v="FIFO"/>
    <n v="1049"/>
    <n v="103"/>
    <n v="946"/>
    <x v="2"/>
    <s v="MIXING"/>
    <x v="0"/>
    <n v="1"/>
  </r>
  <r>
    <n v="92"/>
    <s v="??"/>
    <s v="B31"/>
    <x v="3"/>
    <x v="0"/>
    <s v="PISAHIN"/>
    <s v="FIFO"/>
    <m/>
    <m/>
    <s v="N/A"/>
    <x v="2"/>
    <s v="MIXING"/>
    <x v="0"/>
    <n v="1"/>
  </r>
  <r>
    <n v="93"/>
    <n v="99"/>
    <s v="BB2"/>
    <x v="18"/>
    <x v="0"/>
    <s v="REMILL"/>
    <s v="FIFO"/>
    <m/>
    <m/>
    <n v="560"/>
    <x v="3"/>
    <s v="MIXING"/>
    <x v="0"/>
    <n v="1"/>
  </r>
  <r>
    <n v="94"/>
    <n v="1"/>
    <s v="B32"/>
    <x v="3"/>
    <x v="0"/>
    <s v="RESTACKING"/>
    <s v="FIFO"/>
    <m/>
    <m/>
    <s v="N/A"/>
    <x v="2"/>
    <s v="MIXING"/>
    <x v="3"/>
    <n v="1"/>
  </r>
  <r>
    <n v="95"/>
    <n v="274"/>
    <s v="C10"/>
    <x v="6"/>
    <x v="0"/>
    <s v="CONGKEL"/>
    <s v="FIFO"/>
    <m/>
    <m/>
    <n v="783"/>
    <x v="5"/>
    <s v="MIXING"/>
    <x v="0"/>
    <n v="1"/>
  </r>
  <r>
    <n v="96"/>
    <s v="??"/>
    <s v="B33"/>
    <x v="3"/>
    <x v="0"/>
    <s v="RESTACKING"/>
    <s v="FIFO"/>
    <m/>
    <m/>
    <s v="N/A"/>
    <x v="2"/>
    <s v="MIXING"/>
    <x v="0"/>
    <n v="1"/>
  </r>
  <r>
    <n v="97"/>
    <n v="27"/>
    <s v="B34"/>
    <x v="8"/>
    <x v="0"/>
    <s v="SEGREGASI"/>
    <s v="FIFO"/>
    <n v="514"/>
    <n v="66"/>
    <n v="448"/>
    <x v="10"/>
    <s v="MIXING"/>
    <x v="0"/>
    <n v="1"/>
  </r>
  <r>
    <n v="98"/>
    <n v="98"/>
    <s v="B34"/>
    <x v="14"/>
    <x v="0"/>
    <s v="CONGKEL"/>
    <s v="FIFO"/>
    <m/>
    <m/>
    <s v="N/A"/>
    <x v="0"/>
    <s v="EXT"/>
    <x v="8"/>
    <n v="1"/>
  </r>
  <r>
    <n v="99"/>
    <n v="21"/>
    <s v="B35"/>
    <x v="17"/>
    <x v="0"/>
    <s v="RESTACKING"/>
    <s v="FIFO"/>
    <n v="741"/>
    <n v="104"/>
    <n v="637"/>
    <x v="10"/>
    <s v="EXT"/>
    <x v="8"/>
    <n v="1"/>
  </r>
  <r>
    <n v="100"/>
    <n v="79"/>
    <s v="C11"/>
    <x v="1"/>
    <x v="0"/>
    <s v="GILING DI EXT"/>
    <s v="FIFO"/>
    <m/>
    <m/>
    <n v="192"/>
    <x v="5"/>
    <s v="EXT"/>
    <x v="0"/>
    <n v="1"/>
  </r>
  <r>
    <n v="101"/>
    <n v="12"/>
    <s v="B37"/>
    <x v="14"/>
    <x v="0"/>
    <s v="SEGREGASI"/>
    <s v="FIFO"/>
    <n v="644"/>
    <n v="123"/>
    <n v="521"/>
    <x v="15"/>
    <s v="EXT"/>
    <x v="0"/>
    <n v="1"/>
  </r>
  <r>
    <n v="102"/>
    <n v="4"/>
    <s v="B38"/>
    <x v="8"/>
    <x v="0"/>
    <s v="SEGREGASI"/>
    <s v="FIFO"/>
    <n v="722"/>
    <n v="103"/>
    <n v="619"/>
    <x v="15"/>
    <s v="MIXING"/>
    <x v="0"/>
    <n v="1"/>
  </r>
  <r>
    <n v="103"/>
    <n v="78"/>
    <s v="C12"/>
    <x v="1"/>
    <x v="0"/>
    <s v="GILING DI EXT"/>
    <s v="FIFO"/>
    <m/>
    <m/>
    <n v="409"/>
    <x v="5"/>
    <s v="EXT"/>
    <x v="0"/>
    <n v="1"/>
  </r>
  <r>
    <n v="104"/>
    <n v="137"/>
    <s v="B4"/>
    <x v="11"/>
    <x v="1"/>
    <s v="SCRAP"/>
    <s v="FIFO"/>
    <m/>
    <m/>
    <n v="741"/>
    <x v="2"/>
    <s v="MIXING"/>
    <x v="0"/>
    <n v="1"/>
  </r>
  <r>
    <n v="105"/>
    <n v="33"/>
    <s v="B4"/>
    <x v="3"/>
    <x v="1"/>
    <s v="SCRAP"/>
    <s v="FIFO"/>
    <m/>
    <m/>
    <n v="321"/>
    <x v="18"/>
    <s v="MIXING"/>
    <x v="9"/>
    <n v="1"/>
  </r>
  <r>
    <n v="106"/>
    <n v="137"/>
    <s v="B49"/>
    <x v="11"/>
    <x v="1"/>
    <s v="SCRAP"/>
    <s v="FIFO"/>
    <m/>
    <m/>
    <n v="741"/>
    <x v="2"/>
    <s v="MIXING"/>
    <x v="0"/>
    <n v="1"/>
  </r>
  <r>
    <n v="107"/>
    <n v="37"/>
    <s v="B5"/>
    <x v="3"/>
    <x v="0"/>
    <s v="RESTACKING"/>
    <s v="FIFO"/>
    <n v="673"/>
    <n v="125"/>
    <n v="548"/>
    <x v="10"/>
    <s v="MIXING"/>
    <x v="10"/>
    <n v="1"/>
  </r>
  <r>
    <n v="108"/>
    <n v="29"/>
    <s v="B50"/>
    <x v="11"/>
    <x v="0"/>
    <s v="SCRAP"/>
    <s v="FIFO"/>
    <m/>
    <m/>
    <n v="136"/>
    <x v="2"/>
    <s v="MIXING"/>
    <x v="0"/>
    <n v="1"/>
  </r>
  <r>
    <n v="109"/>
    <n v="25"/>
    <s v="A55"/>
    <x v="24"/>
    <x v="1"/>
    <s v="SCRAP"/>
    <s v="FIFO"/>
    <n v="933"/>
    <n v="87"/>
    <n v="846"/>
    <x v="5"/>
    <s v="MIXING"/>
    <x v="0"/>
    <n v="1"/>
  </r>
  <r>
    <n v="110"/>
    <n v="26"/>
    <s v="A55"/>
    <x v="25"/>
    <x v="1"/>
    <s v="SCRAP"/>
    <s v="FIFO"/>
    <n v="864"/>
    <n v="125"/>
    <n v="739"/>
    <x v="2"/>
    <s v="CALCUT"/>
    <x v="0"/>
    <n v="1"/>
  </r>
  <r>
    <n v="111"/>
    <n v="12"/>
    <s v="A55"/>
    <x v="8"/>
    <x v="1"/>
    <s v="SCRAP"/>
    <s v="FIFO"/>
    <n v="416"/>
    <n v="103"/>
    <n v="313"/>
    <x v="5"/>
    <s v="MIXING"/>
    <x v="0"/>
    <n v="1"/>
  </r>
  <r>
    <n v="112"/>
    <n v="8"/>
    <s v="B56"/>
    <x v="3"/>
    <x v="1"/>
    <s v="SCRAP"/>
    <s v="FIFO"/>
    <n v="344"/>
    <n v="125"/>
    <n v="219"/>
    <x v="4"/>
    <s v="MIXING"/>
    <x v="0"/>
    <n v="1"/>
  </r>
  <r>
    <n v="113"/>
    <n v="5"/>
    <s v="A55"/>
    <x v="16"/>
    <x v="1"/>
    <s v="SCRAP"/>
    <s v="FIFO"/>
    <n v="699"/>
    <n v="125"/>
    <n v="574"/>
    <x v="2"/>
    <s v="MIXING"/>
    <x v="0"/>
    <n v="1"/>
  </r>
  <r>
    <n v="114"/>
    <n v="8"/>
    <s v="A55"/>
    <x v="14"/>
    <x v="1"/>
    <s v="SCRAP"/>
    <s v="FIFO"/>
    <n v="870"/>
    <n v="84"/>
    <n v="786"/>
    <x v="5"/>
    <s v="EXT"/>
    <x v="0"/>
    <n v="1"/>
  </r>
  <r>
    <n v="115"/>
    <n v="158"/>
    <s v="B58"/>
    <x v="11"/>
    <x v="1"/>
    <s v="SCRAP"/>
    <s v="FIFO"/>
    <n v="578"/>
    <n v="66"/>
    <n v="512"/>
    <x v="17"/>
    <s v="MIXING"/>
    <x v="9"/>
    <n v="1"/>
  </r>
  <r>
    <n v="116"/>
    <n v="157"/>
    <s v="A55"/>
    <x v="17"/>
    <x v="1"/>
    <s v="SCRAP"/>
    <s v="FIFO"/>
    <n v="380"/>
    <n v="103"/>
    <n v="277"/>
    <x v="5"/>
    <s v="EXT"/>
    <x v="0"/>
    <n v="1"/>
  </r>
  <r>
    <n v="117"/>
    <n v="31"/>
    <s v="B6"/>
    <x v="11"/>
    <x v="1"/>
    <s v="SCRAP"/>
    <s v="FIFO"/>
    <n v="642"/>
    <n v="104"/>
    <n v="538"/>
    <x v="19"/>
    <s v="MIXING"/>
    <x v="0"/>
    <n v="1"/>
  </r>
  <r>
    <n v="118"/>
    <n v="111"/>
    <s v="B60"/>
    <x v="17"/>
    <x v="1"/>
    <s v="SCRAP"/>
    <s v="FIFO"/>
    <n v="247"/>
    <n v="125"/>
    <n v="122"/>
    <x v="17"/>
    <s v="EXT"/>
    <x v="9"/>
    <n v="1"/>
  </r>
  <r>
    <n v="119"/>
    <n v="154"/>
    <s v="A55"/>
    <x v="14"/>
    <x v="1"/>
    <s v="SCRAP"/>
    <s v="FIFO"/>
    <n v="762"/>
    <n v="125"/>
    <n v="637"/>
    <x v="5"/>
    <s v="EXT"/>
    <x v="0"/>
    <n v="1"/>
  </r>
  <r>
    <n v="120"/>
    <n v="123"/>
    <s v="A55"/>
    <x v="14"/>
    <x v="1"/>
    <s v="SCRAP"/>
    <s v="FIFO"/>
    <n v="542"/>
    <n v="125"/>
    <n v="417"/>
    <x v="5"/>
    <s v="EXT"/>
    <x v="0"/>
    <n v="1"/>
  </r>
  <r>
    <n v="121"/>
    <n v="124"/>
    <s v="A55"/>
    <x v="14"/>
    <x v="1"/>
    <s v="SCRAP"/>
    <s v="FIFO"/>
    <n v="663"/>
    <n v="103"/>
    <n v="560"/>
    <x v="5"/>
    <s v="EXT"/>
    <x v="0"/>
    <n v="1"/>
  </r>
  <r>
    <n v="122"/>
    <n v="35"/>
    <s v="A55"/>
    <x v="18"/>
    <x v="1"/>
    <s v="SCRAP"/>
    <s v="FIFO"/>
    <n v="1027"/>
    <n v="103"/>
    <n v="924"/>
    <x v="2"/>
    <s v="EXT"/>
    <x v="0"/>
    <n v="1"/>
  </r>
  <r>
    <n v="123"/>
    <n v="73"/>
    <s v="B65"/>
    <x v="12"/>
    <x v="1"/>
    <s v="CONGKEL"/>
    <s v="FIFO"/>
    <n v="389"/>
    <n v="125"/>
    <n v="264"/>
    <x v="10"/>
    <s v="EXT"/>
    <x v="0"/>
    <n v="1"/>
  </r>
  <r>
    <n v="124"/>
    <n v="75"/>
    <s v="B66"/>
    <x v="14"/>
    <x v="1"/>
    <s v="CONGKEL"/>
    <s v="FIFO"/>
    <n v="691"/>
    <n v="103"/>
    <n v="588"/>
    <x v="10"/>
    <s v="EXT"/>
    <x v="0"/>
    <n v="1"/>
  </r>
  <r>
    <n v="125"/>
    <n v="56"/>
    <s v="B67"/>
    <x v="11"/>
    <x v="0"/>
    <s v="RESTACKING"/>
    <s v="FIFO"/>
    <m/>
    <m/>
    <n v="429"/>
    <x v="5"/>
    <s v="MIXING"/>
    <x v="0"/>
    <n v="1"/>
  </r>
  <r>
    <n v="126"/>
    <n v="83"/>
    <s v="A55"/>
    <x v="7"/>
    <x v="1"/>
    <s v="SCRAP"/>
    <s v="FIFO"/>
    <m/>
    <m/>
    <n v="189"/>
    <x v="5"/>
    <s v="EXT"/>
    <x v="0"/>
    <n v="1"/>
  </r>
  <r>
    <n v="127"/>
    <n v="85"/>
    <s v="B7"/>
    <x v="1"/>
    <x v="0"/>
    <s v="GILING DI EXT"/>
    <s v="FIFO"/>
    <m/>
    <m/>
    <n v="218"/>
    <x v="16"/>
    <s v="EXT"/>
    <x v="0"/>
    <n v="1"/>
  </r>
  <r>
    <n v="128"/>
    <n v="62"/>
    <s v="B85"/>
    <x v="6"/>
    <x v="0"/>
    <s v="CONGKEL &amp; RESTACKING"/>
    <s v="FIFO"/>
    <m/>
    <m/>
    <s v="N/A"/>
    <x v="13"/>
    <s v="EXT"/>
    <x v="11"/>
    <n v="1"/>
  </r>
  <r>
    <n v="129"/>
    <n v="64"/>
    <s v="B86"/>
    <x v="26"/>
    <x v="0"/>
    <s v="CONGKEL (OK)"/>
    <s v="FIFO"/>
    <m/>
    <m/>
    <s v="N/A"/>
    <x v="14"/>
    <s v="EXT"/>
    <x v="0"/>
    <n v="1"/>
  </r>
  <r>
    <n v="130"/>
    <n v="155"/>
    <s v="C13"/>
    <x v="2"/>
    <x v="0"/>
    <s v="GILING DI 4 ROLL"/>
    <s v="FIFO"/>
    <m/>
    <m/>
    <n v="647"/>
    <x v="5"/>
    <s v="MIXING"/>
    <x v="0"/>
    <n v="1"/>
  </r>
  <r>
    <n v="131"/>
    <n v="28"/>
    <s v="BB1"/>
    <x v="9"/>
    <x v="0"/>
    <s v="RESTACKING"/>
    <s v="FIFO"/>
    <m/>
    <m/>
    <n v="680"/>
    <x v="13"/>
    <s v="MIXING"/>
    <x v="8"/>
    <n v="1"/>
  </r>
  <r>
    <n v="132"/>
    <n v="46"/>
    <s v="C14"/>
    <x v="1"/>
    <x v="1"/>
    <s v="SEGREGASI"/>
    <s v="FIFO"/>
    <m/>
    <m/>
    <n v="209"/>
    <x v="2"/>
    <s v="MIXING"/>
    <x v="0"/>
    <n v="1"/>
  </r>
  <r>
    <n v="133"/>
    <n v="29"/>
    <s v="BE18"/>
    <x v="11"/>
    <x v="0"/>
    <s v="PISAHIN"/>
    <s v="AREA RACK DEPAN LAYDOWN"/>
    <m/>
    <m/>
    <s v="N/A"/>
    <x v="14"/>
    <s v="MIXING "/>
    <x v="0"/>
    <n v="1"/>
  </r>
  <r>
    <n v="134"/>
    <n v="36"/>
    <s v="BF17"/>
    <x v="3"/>
    <x v="0"/>
    <s v="RESTACKING"/>
    <s v="AREA RACK DEPAN LAYDOWN"/>
    <m/>
    <m/>
    <s v="N/A"/>
    <x v="14"/>
    <s v="MIXING "/>
    <x v="0"/>
    <n v="1"/>
  </r>
  <r>
    <n v="135"/>
    <n v="21"/>
    <s v="C1"/>
    <x v="3"/>
    <x v="1"/>
    <s v="SCRAP"/>
    <s v="FIFO"/>
    <n v="634"/>
    <n v="113"/>
    <n v="521"/>
    <x v="2"/>
    <s v="MIXING"/>
    <x v="0"/>
    <n v="1"/>
  </r>
  <r>
    <n v="136"/>
    <n v="80"/>
    <s v="C10"/>
    <x v="27"/>
    <x v="0"/>
    <s v="PISAHIN"/>
    <s v="FIFO"/>
    <m/>
    <m/>
    <n v="265"/>
    <x v="8"/>
    <s v="MIXING"/>
    <x v="0"/>
    <n v="1"/>
  </r>
  <r>
    <n v="137"/>
    <n v="167"/>
    <s v="C10"/>
    <x v="24"/>
    <x v="1"/>
    <s v="SCRAP"/>
    <s v="FIFO"/>
    <m/>
    <m/>
    <s v="N/A"/>
    <x v="14"/>
    <s v="MIXING "/>
    <x v="0"/>
    <n v="1"/>
  </r>
  <r>
    <n v="138"/>
    <n v="2"/>
    <s v="C107"/>
    <x v="5"/>
    <x v="1"/>
    <s v="SCRAP"/>
    <s v="FIFO"/>
    <m/>
    <m/>
    <n v="1103"/>
    <x v="2"/>
    <s v="MIXING"/>
    <x v="0"/>
    <n v="1"/>
  </r>
  <r>
    <n v="139"/>
    <n v="1"/>
    <s v="C108"/>
    <x v="5"/>
    <x v="1"/>
    <s v="SCRAP"/>
    <s v="FIFO"/>
    <m/>
    <m/>
    <n v="541"/>
    <x v="2"/>
    <s v="MIXING"/>
    <x v="0"/>
    <n v="1"/>
  </r>
  <r>
    <n v="140"/>
    <n v="61"/>
    <s v="C15"/>
    <x v="14"/>
    <x v="0"/>
    <s v="SELEKSI"/>
    <s v="FIFO"/>
    <m/>
    <m/>
    <n v="347"/>
    <x v="5"/>
    <s v="MIXING"/>
    <x v="0"/>
    <n v="1"/>
  </r>
  <r>
    <n v="141"/>
    <n v="19"/>
    <s v="C16"/>
    <x v="6"/>
    <x v="0"/>
    <s v="RESTACKING"/>
    <s v="FIFO"/>
    <n v="527"/>
    <n v="104"/>
    <n v="423"/>
    <x v="5"/>
    <s v="EXT"/>
    <x v="0"/>
    <n v="1"/>
  </r>
  <r>
    <n v="142"/>
    <n v="83"/>
    <s v="C17"/>
    <x v="1"/>
    <x v="0"/>
    <s v="GILING DI EXT"/>
    <s v="FIFO"/>
    <n v="569"/>
    <n v="66"/>
    <n v="503"/>
    <x v="5"/>
    <s v="MIXING"/>
    <x v="0"/>
    <n v="1"/>
  </r>
  <r>
    <n v="143"/>
    <n v="277"/>
    <s v="C18"/>
    <x v="9"/>
    <x v="0"/>
    <s v="RESTACKING"/>
    <s v="FIFO"/>
    <m/>
    <m/>
    <n v="235"/>
    <x v="6"/>
    <s v="MIXING"/>
    <x v="0"/>
    <n v="1"/>
  </r>
  <r>
    <n v="144"/>
    <n v="36"/>
    <s v="C15"/>
    <x v="28"/>
    <x v="1"/>
    <s v="LUMPY"/>
    <s v="FIFO"/>
    <m/>
    <m/>
    <n v="596"/>
    <x v="10"/>
    <s v="EXT"/>
    <x v="0"/>
    <n v="1"/>
  </r>
  <r>
    <n v="145"/>
    <n v="72"/>
    <s v="C16"/>
    <x v="29"/>
    <x v="0"/>
    <s v="GILING DI EXT"/>
    <s v="FIFO"/>
    <m/>
    <m/>
    <n v="552"/>
    <x v="4"/>
    <s v="EXT"/>
    <x v="0"/>
    <n v="1"/>
  </r>
  <r>
    <n v="146"/>
    <n v="82"/>
    <s v="C19"/>
    <x v="1"/>
    <x v="0"/>
    <s v="GILING DI EXT"/>
    <s v="FIFO"/>
    <m/>
    <m/>
    <n v="277"/>
    <x v="5"/>
    <s v="EXT"/>
    <x v="0"/>
    <n v="1"/>
  </r>
  <r>
    <n v="147"/>
    <n v="272"/>
    <s v="C20"/>
    <x v="6"/>
    <x v="0"/>
    <s v="GILING DI EXT"/>
    <s v="FIFO"/>
    <m/>
    <m/>
    <n v="343"/>
    <x v="5"/>
    <s v="EXT"/>
    <x v="0"/>
    <n v="1"/>
  </r>
  <r>
    <n v="148"/>
    <n v="79"/>
    <s v="C18"/>
    <x v="30"/>
    <x v="0"/>
    <s v="SEGREGASI"/>
    <s v="FIFO"/>
    <n v="448"/>
    <n v="84"/>
    <n v="364"/>
    <x v="15"/>
    <s v="EXT"/>
    <x v="8"/>
    <n v="1"/>
  </r>
  <r>
    <n v="149"/>
    <n v="155"/>
    <s v="C18"/>
    <x v="9"/>
    <x v="1"/>
    <s v="SCRAP"/>
    <s v="FIFO"/>
    <m/>
    <m/>
    <s v="N/A"/>
    <x v="14"/>
    <s v="MIXING "/>
    <x v="0"/>
    <n v="1"/>
  </r>
  <r>
    <n v="150"/>
    <n v="98"/>
    <s v="C19"/>
    <x v="3"/>
    <x v="0"/>
    <s v="POTONG-POTONG"/>
    <s v="FIFO"/>
    <n v="388"/>
    <n v="104"/>
    <n v="284"/>
    <x v="16"/>
    <s v="MIXING"/>
    <x v="0"/>
    <n v="1"/>
  </r>
  <r>
    <n v="151"/>
    <n v="174"/>
    <s v="C22"/>
    <x v="3"/>
    <x v="0"/>
    <s v="RESTACKING"/>
    <s v="FIFO"/>
    <n v="1087"/>
    <n v="104"/>
    <n v="983"/>
    <x v="2"/>
    <s v="MIXING"/>
    <x v="0"/>
    <n v="1"/>
  </r>
  <r>
    <n v="152"/>
    <n v="178"/>
    <s v="C23"/>
    <x v="11"/>
    <x v="0"/>
    <s v="SEGREGASI"/>
    <s v="FIFO"/>
    <m/>
    <m/>
    <n v="651"/>
    <x v="5"/>
    <s v="MIXING"/>
    <x v="0"/>
    <n v="1"/>
  </r>
  <r>
    <n v="153"/>
    <n v="166"/>
    <s v="C23"/>
    <x v="3"/>
    <x v="0"/>
    <s v="CONGKEL"/>
    <s v="FIFO"/>
    <n v="615"/>
    <n v="125"/>
    <n v="490"/>
    <x v="15"/>
    <s v="MIXING"/>
    <x v="0"/>
    <n v="1"/>
  </r>
  <r>
    <n v="154"/>
    <n v="167"/>
    <s v="C24"/>
    <x v="3"/>
    <x v="0"/>
    <s v="CONGKEL"/>
    <s v="FIFO"/>
    <n v="1110"/>
    <n v="66"/>
    <n v="1044"/>
    <x v="2"/>
    <s v="MIXING"/>
    <x v="0"/>
    <n v="1"/>
  </r>
  <r>
    <n v="155"/>
    <n v="31"/>
    <s v="C25"/>
    <x v="3"/>
    <x v="0"/>
    <s v="SEGREGASI"/>
    <s v="FIFO"/>
    <n v="702"/>
    <n v="113"/>
    <n v="589"/>
    <x v="2"/>
    <s v="MIXING"/>
    <x v="0"/>
    <n v="1"/>
  </r>
  <r>
    <n v="156"/>
    <n v="34"/>
    <s v="C27"/>
    <x v="11"/>
    <x v="0"/>
    <s v="SCRAP"/>
    <s v="FIFO"/>
    <n v="861"/>
    <n v="113"/>
    <n v="748"/>
    <x v="5"/>
    <s v="MIXING"/>
    <x v="0"/>
    <n v="1"/>
  </r>
  <r>
    <n v="157"/>
    <n v="6"/>
    <s v="C28"/>
    <x v="3"/>
    <x v="0"/>
    <s v="OK"/>
    <s v="FIFO"/>
    <n v="695"/>
    <n v="113"/>
    <n v="582"/>
    <x v="5"/>
    <s v="MIXING"/>
    <x v="0"/>
    <n v="1"/>
  </r>
  <r>
    <n v="158"/>
    <n v="22"/>
    <s v="C3"/>
    <x v="3"/>
    <x v="0"/>
    <s v="SCRAP"/>
    <s v="FIFO"/>
    <n v="386"/>
    <n v="113"/>
    <n v="273"/>
    <x v="7"/>
    <s v="MIXING"/>
    <x v="0"/>
    <n v="1"/>
  </r>
  <r>
    <n v="159"/>
    <n v="22"/>
    <s v="C30"/>
    <x v="3"/>
    <x v="0"/>
    <s v="OK"/>
    <s v="FIFO"/>
    <n v="947"/>
    <n v="113"/>
    <n v="834"/>
    <x v="2"/>
    <s v="MIXING"/>
    <x v="0"/>
    <n v="1"/>
  </r>
  <r>
    <n v="160"/>
    <n v="36"/>
    <s v="C31"/>
    <x v="8"/>
    <x v="0"/>
    <s v="CONGKEL"/>
    <s v="FIFO"/>
    <n v="343"/>
    <n v="87"/>
    <n v="256"/>
    <x v="17"/>
    <s v="MIXING"/>
    <x v="0"/>
    <n v="1"/>
  </r>
  <r>
    <n v="161"/>
    <n v="137"/>
    <s v="C31"/>
    <x v="3"/>
    <x v="0"/>
    <s v="RESTACKING"/>
    <s v="FIFO"/>
    <m/>
    <m/>
    <s v="N/A"/>
    <x v="14"/>
    <s v="MIXING "/>
    <x v="0"/>
    <n v="1"/>
  </r>
  <r>
    <n v="162"/>
    <n v="91"/>
    <s v="C31"/>
    <x v="11"/>
    <x v="0"/>
    <s v="REMILL"/>
    <s v="FIFO"/>
    <m/>
    <m/>
    <n v="729"/>
    <x v="2"/>
    <s v="MIXING"/>
    <x v="0"/>
    <n v="1"/>
  </r>
  <r>
    <n v="163"/>
    <n v="280"/>
    <s v="C21"/>
    <x v="31"/>
    <x v="0"/>
    <s v="CONGKEL"/>
    <s v="FIFO"/>
    <m/>
    <m/>
    <n v="350"/>
    <x v="5"/>
    <s v="MIXING"/>
    <x v="0"/>
    <n v="1"/>
  </r>
  <r>
    <n v="164"/>
    <n v="91"/>
    <s v="C32"/>
    <x v="3"/>
    <x v="0"/>
    <s v="REMILL"/>
    <s v="FIFO"/>
    <m/>
    <m/>
    <n v="729"/>
    <x v="2"/>
    <s v="MIXING"/>
    <x v="0"/>
    <n v="1"/>
  </r>
  <r>
    <n v="165"/>
    <n v="29"/>
    <s v="C33"/>
    <x v="14"/>
    <x v="0"/>
    <s v="CONGKEL"/>
    <s v="FIFO"/>
    <n v="561"/>
    <n v="103"/>
    <n v="458"/>
    <x v="10"/>
    <s v="EXT"/>
    <x v="0"/>
    <n v="1"/>
  </r>
  <r>
    <n v="166"/>
    <n v="53"/>
    <s v="C32"/>
    <x v="24"/>
    <x v="0"/>
    <s v="RESTACKING"/>
    <s v="FIFO"/>
    <n v="593"/>
    <n v="66"/>
    <n v="527"/>
    <x v="14"/>
    <s v="MIXING"/>
    <x v="0"/>
    <n v="1"/>
  </r>
  <r>
    <n v="167"/>
    <n v="97"/>
    <s v="C33"/>
    <x v="3"/>
    <x v="0"/>
    <s v="RESTACKING"/>
    <s v="FIFO"/>
    <m/>
    <m/>
    <s v="N/A"/>
    <x v="2"/>
    <s v="MIXING"/>
    <x v="3"/>
    <n v="1"/>
  </r>
  <r>
    <n v="168"/>
    <n v="99"/>
    <s v="C34"/>
    <x v="14"/>
    <x v="0"/>
    <s v="CONGKEL"/>
    <s v="FIFO"/>
    <m/>
    <m/>
    <n v="301"/>
    <x v="13"/>
    <s v="EXT"/>
    <x v="1"/>
    <n v="1"/>
  </r>
  <r>
    <n v="169"/>
    <n v="276"/>
    <s v="C33"/>
    <x v="29"/>
    <x v="0"/>
    <s v="CONGKEL"/>
    <s v="FIFO"/>
    <m/>
    <m/>
    <n v="477"/>
    <x v="14"/>
    <s v="MIXING"/>
    <x v="0"/>
    <n v="1"/>
  </r>
  <r>
    <n v="170"/>
    <n v="18"/>
    <s v="C36"/>
    <x v="32"/>
    <x v="0"/>
    <s v="RESTACKING"/>
    <s v="FIFO"/>
    <n v="656"/>
    <n v="113"/>
    <n v="543"/>
    <x v="15"/>
    <s v="EXT"/>
    <x v="0"/>
    <n v="1"/>
  </r>
  <r>
    <n v="171"/>
    <n v="23"/>
    <s v="C37"/>
    <x v="17"/>
    <x v="0"/>
    <s v="RESTACKING"/>
    <s v="FIFO"/>
    <n v="241"/>
    <n v="79"/>
    <n v="162"/>
    <x v="15"/>
    <s v="EXT"/>
    <x v="0"/>
    <n v="1"/>
  </r>
  <r>
    <n v="172"/>
    <n v="1"/>
    <s v="C38"/>
    <x v="8"/>
    <x v="0"/>
    <s v="PISAHIN"/>
    <s v="FIFO"/>
    <n v="915"/>
    <n v="125"/>
    <n v="790"/>
    <x v="10"/>
    <s v="MIXING"/>
    <x v="0"/>
    <n v="1"/>
  </r>
  <r>
    <n v="173"/>
    <n v="3"/>
    <s v="C39"/>
    <x v="28"/>
    <x v="0"/>
    <s v="GILING DI EXT"/>
    <s v="FIFO"/>
    <n v="426"/>
    <n v="66"/>
    <n v="360"/>
    <x v="10"/>
    <s v="EXT"/>
    <x v="0"/>
    <n v="1"/>
  </r>
  <r>
    <n v="174"/>
    <n v="86"/>
    <s v="C39"/>
    <x v="6"/>
    <x v="0"/>
    <s v="EXT"/>
    <s v="FIFO"/>
    <m/>
    <m/>
    <s v="N/A"/>
    <x v="3"/>
    <s v="EXT"/>
    <x v="0"/>
    <n v="1"/>
  </r>
  <r>
    <n v="175"/>
    <n v="110"/>
    <s v="C4"/>
    <x v="3"/>
    <x v="0"/>
    <s v="SCRAP"/>
    <s v="FIFO"/>
    <n v="370"/>
    <n v="85"/>
    <n v="285"/>
    <x v="2"/>
    <s v="MIXING"/>
    <x v="0"/>
    <n v="1"/>
  </r>
  <r>
    <n v="176"/>
    <n v="28"/>
    <s v="C5"/>
    <x v="11"/>
    <x v="1"/>
    <s v="SCRAP"/>
    <s v="FIFO"/>
    <n v="954"/>
    <n v="125"/>
    <n v="829"/>
    <x v="10"/>
    <s v="MIXING"/>
    <x v="0"/>
    <n v="1"/>
  </r>
  <r>
    <n v="177"/>
    <n v="7"/>
    <s v="A55"/>
    <x v="9"/>
    <x v="1"/>
    <s v="SCRAP"/>
    <s v="FIFO"/>
    <n v="822"/>
    <n v="79"/>
    <n v="743"/>
    <x v="5"/>
    <s v="MIXING"/>
    <x v="0"/>
    <n v="1"/>
  </r>
  <r>
    <n v="178"/>
    <n v="17"/>
    <s v="C53"/>
    <x v="9"/>
    <x v="1"/>
    <s v="SCRAP"/>
    <s v="FIFO"/>
    <n v="617"/>
    <n v="104"/>
    <n v="513"/>
    <x v="5"/>
    <s v="EXT"/>
    <x v="0"/>
    <n v="1"/>
  </r>
  <r>
    <n v="179"/>
    <n v="20"/>
    <s v="C54"/>
    <x v="24"/>
    <x v="1"/>
    <s v="SCRAP"/>
    <s v="FIFO"/>
    <n v="554"/>
    <n v="66"/>
    <n v="488"/>
    <x v="2"/>
    <s v="MIXING"/>
    <x v="0"/>
    <n v="1"/>
  </r>
  <r>
    <n v="180"/>
    <n v="28"/>
    <s v="A55"/>
    <x v="18"/>
    <x v="1"/>
    <s v="SCRAP"/>
    <s v="FIFO"/>
    <n v="1223"/>
    <n v="125"/>
    <n v="1098"/>
    <x v="5"/>
    <s v="EXT"/>
    <x v="0"/>
    <n v="1"/>
  </r>
  <r>
    <n v="181"/>
    <n v="32"/>
    <s v="A55"/>
    <x v="9"/>
    <x v="1"/>
    <s v="SCRAP"/>
    <s v="FIFO"/>
    <n v="547"/>
    <n v="103"/>
    <n v="444"/>
    <x v="5"/>
    <s v="EXT"/>
    <x v="0"/>
    <n v="1"/>
  </r>
  <r>
    <n v="182"/>
    <n v="15"/>
    <s v="A55"/>
    <x v="29"/>
    <x v="1"/>
    <s v="SCRAP"/>
    <s v="FIFO"/>
    <n v="224"/>
    <n v="104"/>
    <n v="120"/>
    <x v="5"/>
    <s v="EXT"/>
    <x v="0"/>
    <n v="1"/>
  </r>
  <r>
    <n v="183"/>
    <n v="14"/>
    <s v="C6"/>
    <x v="11"/>
    <x v="1"/>
    <s v="REMILL"/>
    <s v="FIFO"/>
    <n v="484"/>
    <n v="125"/>
    <n v="359"/>
    <x v="2"/>
    <s v="MIXING"/>
    <x v="0"/>
    <n v="1"/>
  </r>
  <r>
    <n v="184"/>
    <n v="73"/>
    <s v="C5"/>
    <x v="11"/>
    <x v="1"/>
    <s v="SCRAP"/>
    <s v="FIFO"/>
    <n v="1039"/>
    <n v="100"/>
    <n v="939"/>
    <x v="2"/>
    <s v="MIXING"/>
    <x v="0"/>
    <n v="1"/>
  </r>
  <r>
    <n v="185"/>
    <n v="26"/>
    <s v="A55"/>
    <x v="2"/>
    <x v="1"/>
    <s v="SCRAP"/>
    <s v="FIFO"/>
    <n v="278"/>
    <n v="113"/>
    <n v="165"/>
    <x v="7"/>
    <s v="CALCUT"/>
    <x v="0"/>
    <n v="1"/>
  </r>
  <r>
    <n v="186"/>
    <n v="42"/>
    <s v="C61"/>
    <x v="0"/>
    <x v="1"/>
    <s v="SCRAP"/>
    <s v="FIFO"/>
    <n v="906"/>
    <n v="124"/>
    <n v="782"/>
    <x v="10"/>
    <s v="EXT"/>
    <x v="12"/>
    <n v="1"/>
  </r>
  <r>
    <n v="187"/>
    <n v="95"/>
    <s v="A55"/>
    <x v="25"/>
    <x v="1"/>
    <s v="SCRAP"/>
    <s v="FIFO"/>
    <n v="464"/>
    <n v="113"/>
    <n v="351"/>
    <x v="20"/>
    <s v="MIXING"/>
    <x v="0"/>
    <n v="1"/>
  </r>
  <r>
    <n v="188"/>
    <n v="177"/>
    <s v="A55"/>
    <x v="2"/>
    <x v="1"/>
    <s v="SCRAP"/>
    <s v="FIFO"/>
    <m/>
    <m/>
    <n v="559"/>
    <x v="7"/>
    <s v="CALCUT"/>
    <x v="0"/>
    <n v="1"/>
  </r>
  <r>
    <n v="189"/>
    <n v="172"/>
    <s v="C64"/>
    <x v="17"/>
    <x v="1"/>
    <s v="PISAHIN"/>
    <s v="FIFO"/>
    <n v="377"/>
    <n v="79"/>
    <n v="298"/>
    <x v="10"/>
    <s v="EXT"/>
    <x v="0"/>
    <n v="1"/>
  </r>
  <r>
    <n v="190"/>
    <n v="113"/>
    <s v="A55"/>
    <x v="33"/>
    <x v="1"/>
    <s v="ATAS PISAH BAWAH OK"/>
    <s v="FIFO"/>
    <n v="520"/>
    <n v="113"/>
    <n v="407"/>
    <x v="5"/>
    <s v="CALCUT"/>
    <x v="0"/>
    <n v="1"/>
  </r>
  <r>
    <n v="191"/>
    <n v="78"/>
    <s v="A55"/>
    <x v="17"/>
    <x v="1"/>
    <s v="SCRAP"/>
    <s v="FIFO"/>
    <n v="619"/>
    <n v="66"/>
    <n v="553"/>
    <x v="5"/>
    <s v="EXT"/>
    <x v="0"/>
    <n v="1"/>
  </r>
  <r>
    <n v="192"/>
    <n v="87"/>
    <s v="B3"/>
    <x v="11"/>
    <x v="1"/>
    <s v="SCRAP"/>
    <s v="FIFO"/>
    <m/>
    <m/>
    <n v="303"/>
    <x v="11"/>
    <s v="MIXING"/>
    <x v="0"/>
    <n v="1"/>
  </r>
  <r>
    <n v="193"/>
    <n v="179"/>
    <s v="C68"/>
    <x v="11"/>
    <x v="1"/>
    <s v="SCRAP"/>
    <s v="FIFO"/>
    <m/>
    <m/>
    <n v="540"/>
    <x v="2"/>
    <s v="MIXING"/>
    <x v="0"/>
    <n v="1"/>
  </r>
  <r>
    <n v="194"/>
    <n v="49"/>
    <s v="C7"/>
    <x v="14"/>
    <x v="0"/>
    <s v="GILING DI EXT"/>
    <s v="FIFO"/>
    <m/>
    <m/>
    <n v="320"/>
    <x v="16"/>
    <s v="EXT"/>
    <x v="0"/>
    <n v="1"/>
  </r>
  <r>
    <n v="195"/>
    <n v="13"/>
    <s v="C8"/>
    <x v="17"/>
    <x v="0"/>
    <s v="SEGREGASI"/>
    <s v="FIFO"/>
    <n v="384"/>
    <n v="87"/>
    <n v="297"/>
    <x v="6"/>
    <s v="EXT"/>
    <x v="13"/>
    <n v="1"/>
  </r>
  <r>
    <n v="196"/>
    <n v="13"/>
    <s v="C9"/>
    <x v="17"/>
    <x v="0"/>
    <s v="RESTACKING"/>
    <s v="FIFO"/>
    <n v="459"/>
    <n v="84"/>
    <n v="375"/>
    <x v="5"/>
    <s v="EXT"/>
    <x v="0"/>
    <n v="1"/>
  </r>
  <r>
    <n v="197"/>
    <n v="86"/>
    <s v="C9"/>
    <x v="3"/>
    <x v="0"/>
    <s v="SEGREGASI"/>
    <s v="FIFO"/>
    <m/>
    <m/>
    <n v="279"/>
    <x v="10"/>
    <s v="MIXING"/>
    <x v="0"/>
    <n v="1"/>
  </r>
  <r>
    <n v="198"/>
    <n v="74"/>
    <s v="C94"/>
    <x v="17"/>
    <x v="0"/>
    <s v="CONGKEL &amp; RESTACKING"/>
    <s v="FIFO"/>
    <m/>
    <m/>
    <s v="N/A"/>
    <x v="14"/>
    <s v="EXT"/>
    <x v="0"/>
    <n v="1"/>
  </r>
  <r>
    <n v="199"/>
    <n v="76"/>
    <s v="C95"/>
    <x v="6"/>
    <x v="0"/>
    <s v="CONGKEL &amp; RESTACKING"/>
    <s v="FIFO"/>
    <m/>
    <m/>
    <s v="N/A"/>
    <x v="14"/>
    <s v="EXT"/>
    <x v="0"/>
    <n v="1"/>
  </r>
  <r>
    <n v="200"/>
    <n v="77"/>
    <s v="C96"/>
    <x v="6"/>
    <x v="0"/>
    <s v="CONGKEL &amp; RESTACKING (EXT)"/>
    <s v="FIFO"/>
    <m/>
    <m/>
    <s v="N/A"/>
    <x v="0"/>
    <s v="EXT"/>
    <x v="14"/>
    <n v="1"/>
  </r>
  <r>
    <n v="201"/>
    <n v="215"/>
    <s v="LANTAI"/>
    <x v="6"/>
    <x v="0"/>
    <s v="RESTACKING"/>
    <s v="DEPAN LAYDOWN BB2"/>
    <m/>
    <m/>
    <s v="N/A"/>
    <x v="3"/>
    <s v="EXT"/>
    <x v="0"/>
    <n v="1"/>
  </r>
  <r>
    <n v="202"/>
    <n v="216"/>
    <s v="LANTAI"/>
    <x v="9"/>
    <x v="0"/>
    <s v="RESTACKING"/>
    <s v="DEPAN LAYDOWN BB2"/>
    <m/>
    <m/>
    <s v="N/A"/>
    <x v="3"/>
    <s v="EXT"/>
    <x v="0"/>
    <n v="1"/>
  </r>
  <r>
    <n v="203"/>
    <n v="217"/>
    <s v="LANTAI"/>
    <x v="14"/>
    <x v="0"/>
    <s v="CONGKEL"/>
    <s v="DEPAN LAYDOWN BB2"/>
    <m/>
    <m/>
    <s v="N/A"/>
    <x v="3"/>
    <s v="MIXING "/>
    <x v="0"/>
    <n v="1"/>
  </r>
  <r>
    <n v="204"/>
    <n v="203"/>
    <s v="LANTAI"/>
    <x v="7"/>
    <x v="0"/>
    <s v="RESTACKING"/>
    <s v="SAMPING LAYDOWN BB2"/>
    <m/>
    <m/>
    <n v="320"/>
    <x v="10"/>
    <s v="MIXING"/>
    <x v="0"/>
    <n v="1"/>
  </r>
  <r>
    <n v="205"/>
    <n v="202"/>
    <s v="LANTAI"/>
    <x v="34"/>
    <x v="0"/>
    <s v="CONGKEL"/>
    <s v="SAMPING LAYDOWN BB2"/>
    <m/>
    <m/>
    <n v="357"/>
    <x v="10"/>
    <s v="EXT"/>
    <x v="8"/>
    <n v="1"/>
  </r>
  <r>
    <n v="206"/>
    <n v="250"/>
    <s v="LANTAI"/>
    <x v="14"/>
    <x v="0"/>
    <s v="PISAHIN"/>
    <s v="DEPAN LAYDOWN BB2"/>
    <m/>
    <m/>
    <s v="N/A"/>
    <x v="15"/>
    <s v="MIXING"/>
    <x v="0"/>
    <n v="1"/>
  </r>
  <r>
    <n v="207"/>
    <n v="100"/>
    <s v="LANTAI"/>
    <x v="35"/>
    <x v="0"/>
    <s v="RESTACKING"/>
    <s v="DEPAN LAYDOWN BB2"/>
    <m/>
    <m/>
    <s v="N/A"/>
    <x v="15"/>
    <s v="MIXING"/>
    <x v="0"/>
    <n v="1"/>
  </r>
  <r>
    <n v="208"/>
    <n v="17"/>
    <s v="LANTAI"/>
    <x v="17"/>
    <x v="0"/>
    <s v="CONGKEL "/>
    <s v="DEPAN LAYDOWN BB2"/>
    <m/>
    <m/>
    <s v="N/A"/>
    <x v="15"/>
    <s v="MIXING"/>
    <x v="0"/>
    <n v="1"/>
  </r>
  <r>
    <n v="209"/>
    <n v="162"/>
    <s v="LANTAI"/>
    <x v="14"/>
    <x v="0"/>
    <s v="PISAHIN"/>
    <s v="DEPAN LAYDOWN BB2"/>
    <m/>
    <m/>
    <s v="N/A"/>
    <x v="15"/>
    <s v="MIXING"/>
    <x v="15"/>
    <n v="1"/>
  </r>
  <r>
    <n v="210"/>
    <n v="33"/>
    <s v="LANTAI"/>
    <x v="36"/>
    <x v="0"/>
    <s v="RESTACKING"/>
    <s v="DEPAN LAYDOWN BB2"/>
    <m/>
    <m/>
    <s v="N/A"/>
    <x v="15"/>
    <s v="MIXING"/>
    <x v="0"/>
    <n v="1"/>
  </r>
  <r>
    <n v="211"/>
    <n v="57"/>
    <s v="LANTAI"/>
    <x v="18"/>
    <x v="1"/>
    <s v="SCRAP"/>
    <s v="DEPAN LAYDOWN BB2"/>
    <m/>
    <m/>
    <s v="N/A"/>
    <x v="16"/>
    <s v="MIXING"/>
    <x v="0"/>
    <n v="1"/>
  </r>
  <r>
    <n v="212"/>
    <n v="39"/>
    <s v="LANTAI"/>
    <x v="9"/>
    <x v="0"/>
    <s v="RESTACKING"/>
    <s v="DEPAN LAYDOWN BB2"/>
    <m/>
    <m/>
    <s v="N/A"/>
    <x v="16"/>
    <s v="MIXING"/>
    <x v="8"/>
    <n v="1"/>
  </r>
  <r>
    <n v="213"/>
    <n v="30"/>
    <s v="LANTAI"/>
    <x v="6"/>
    <x v="0"/>
    <s v="RESTACKING"/>
    <s v="DEPAN LAYDOWN BB2"/>
    <m/>
    <m/>
    <s v="N/A"/>
    <x v="16"/>
    <s v="MIXING"/>
    <x v="0"/>
    <n v="1"/>
  </r>
  <r>
    <n v="214"/>
    <n v="58"/>
    <s v="OTR"/>
    <x v="22"/>
    <x v="0"/>
    <s v="SEBAGAI OS T16R5"/>
    <s v="AREA WT RELEASE"/>
    <m/>
    <m/>
    <s v="N/A"/>
    <x v="0"/>
    <s v="MIXING "/>
    <x v="0"/>
    <n v="1"/>
  </r>
  <r>
    <n v="215"/>
    <s v="ex "/>
    <s v="OTR"/>
    <x v="9"/>
    <x v="1"/>
    <s v="EX CONGKEL"/>
    <s v="FIFO"/>
    <m/>
    <m/>
    <n v="399"/>
    <x v="2"/>
    <s v="MIXING "/>
    <x v="0"/>
    <m/>
  </r>
  <r>
    <n v="216"/>
    <s v="ex "/>
    <s v="OTR"/>
    <x v="37"/>
    <x v="1"/>
    <s v="EX CONGKEL"/>
    <s v="FIFO"/>
    <m/>
    <m/>
    <n v="879"/>
    <x v="2"/>
    <s v="MIXING "/>
    <x v="0"/>
    <m/>
  </r>
  <r>
    <n v="217"/>
    <s v="ex "/>
    <s v="OTR"/>
    <x v="37"/>
    <x v="1"/>
    <s v="EX CONGKEL"/>
    <s v="FIFO"/>
    <m/>
    <m/>
    <n v="302"/>
    <x v="2"/>
    <s v="MIXING "/>
    <x v="0"/>
    <m/>
  </r>
  <r>
    <n v="218"/>
    <s v="ex "/>
    <s v="OTR"/>
    <x v="37"/>
    <x v="1"/>
    <s v="EX CONGKEL"/>
    <s v="FIFO"/>
    <m/>
    <m/>
    <n v="285"/>
    <x v="2"/>
    <s v="MIXING "/>
    <x v="0"/>
    <m/>
  </r>
  <r>
    <n v="219"/>
    <s v="ex "/>
    <s v="OTR"/>
    <x v="37"/>
    <x v="1"/>
    <s v="EX CONGKEL"/>
    <s v="FIFO"/>
    <m/>
    <m/>
    <n v="347"/>
    <x v="2"/>
    <s v="MIXING "/>
    <x v="0"/>
    <m/>
  </r>
  <r>
    <n v="220"/>
    <s v="ex "/>
    <s v="OTR"/>
    <x v="9"/>
    <x v="1"/>
    <s v="EX CONGKEL"/>
    <s v="FIFO"/>
    <m/>
    <m/>
    <n v="171"/>
    <x v="2"/>
    <s v="MIXING "/>
    <x v="0"/>
    <m/>
  </r>
  <r>
    <n v="221"/>
    <s v="ex "/>
    <s v="OTR"/>
    <x v="14"/>
    <x v="1"/>
    <s v="EX CONGKEL"/>
    <s v="FIFO"/>
    <m/>
    <m/>
    <n v="476"/>
    <x v="2"/>
    <s v="MIXING "/>
    <x v="0"/>
    <m/>
  </r>
  <r>
    <n v="222"/>
    <s v="ex "/>
    <s v="OTR"/>
    <x v="15"/>
    <x v="1"/>
    <s v="EX CONGKEL"/>
    <s v="FIFO"/>
    <m/>
    <m/>
    <n v="369"/>
    <x v="2"/>
    <s v="MIXING "/>
    <x v="0"/>
    <m/>
  </r>
  <r>
    <n v="223"/>
    <s v="ex "/>
    <s v="OTR"/>
    <x v="14"/>
    <x v="1"/>
    <s v="EX CONGKEL"/>
    <s v="FIFO"/>
    <m/>
    <m/>
    <n v="301"/>
    <x v="2"/>
    <s v="MIXING "/>
    <x v="0"/>
    <m/>
  </r>
  <r>
    <n v="224"/>
    <s v="ex "/>
    <s v="OTR"/>
    <x v="26"/>
    <x v="1"/>
    <s v="EX CONGKEL"/>
    <s v="FIFO"/>
    <m/>
    <m/>
    <n v="161"/>
    <x v="2"/>
    <s v="MIXING "/>
    <x v="0"/>
    <m/>
  </r>
  <r>
    <n v="225"/>
    <s v="ex "/>
    <s v="OTR"/>
    <x v="3"/>
    <x v="1"/>
    <s v="EX CONGKEL"/>
    <s v="FIFO"/>
    <m/>
    <m/>
    <n v="461"/>
    <x v="2"/>
    <s v="MIXING "/>
    <x v="0"/>
    <m/>
  </r>
  <r>
    <n v="225"/>
    <s v="ex "/>
    <s v="OTR"/>
    <x v="14"/>
    <x v="1"/>
    <s v="EX CONGKEL"/>
    <s v="DEPAN LAYDOWN BB2"/>
    <m/>
    <m/>
    <n v="255"/>
    <x v="2"/>
    <s v="MIXING "/>
    <x v="0"/>
    <m/>
  </r>
  <r>
    <n v="226"/>
    <s v="ex "/>
    <s v="OTR"/>
    <x v="26"/>
    <x v="1"/>
    <s v="EX CONGKEL"/>
    <s v="DEPAN LAYDOWN BB2"/>
    <m/>
    <m/>
    <n v="452"/>
    <x v="2"/>
    <s v="MIXING "/>
    <x v="0"/>
    <m/>
  </r>
  <r>
    <n v="227"/>
    <s v="ex "/>
    <s v="OTR"/>
    <x v="37"/>
    <x v="1"/>
    <s v="EX CONGKEL"/>
    <s v="DEPAN LAYDOWN BB2"/>
    <m/>
    <m/>
    <n v="269"/>
    <x v="2"/>
    <s v="MIXING "/>
    <x v="0"/>
    <m/>
  </r>
  <r>
    <n v="228"/>
    <s v="ex "/>
    <s v="OTR"/>
    <x v="9"/>
    <x v="1"/>
    <s v="EX CONGKEL"/>
    <s v="DEPAN LAYDOWN BB2"/>
    <m/>
    <m/>
    <n v="636"/>
    <x v="2"/>
    <s v="MIXING "/>
    <x v="0"/>
    <m/>
  </r>
  <r>
    <n v="229"/>
    <s v="ex "/>
    <s v="OTR"/>
    <x v="38"/>
    <x v="1"/>
    <s v="EX CONGKEL"/>
    <s v="DEPAN LAYDOWN BB2"/>
    <m/>
    <m/>
    <n v="343"/>
    <x v="2"/>
    <s v="MIXING "/>
    <x v="0"/>
    <m/>
  </r>
  <r>
    <n v="230"/>
    <s v="ex "/>
    <s v="OTR"/>
    <x v="39"/>
    <x v="1"/>
    <s v="EX CONGKEL"/>
    <s v="DEPAN LAYDOWN BB2"/>
    <m/>
    <m/>
    <n v="610"/>
    <x v="2"/>
    <s v="MIXING "/>
    <x v="0"/>
    <m/>
  </r>
  <r>
    <m/>
    <m/>
    <m/>
    <x v="40"/>
    <x v="2"/>
    <m/>
    <m/>
    <m/>
    <m/>
    <n v="6716"/>
    <x v="2"/>
    <m/>
    <x v="0"/>
    <m/>
  </r>
  <r>
    <m/>
    <m/>
    <m/>
    <x v="40"/>
    <x v="2"/>
    <m/>
    <m/>
    <m/>
    <m/>
    <m/>
    <x v="2"/>
    <m/>
    <x v="0"/>
    <m/>
  </r>
  <r>
    <m/>
    <m/>
    <m/>
    <x v="40"/>
    <x v="2"/>
    <m/>
    <m/>
    <m/>
    <m/>
    <m/>
    <x v="2"/>
    <m/>
    <x v="0"/>
    <m/>
  </r>
  <r>
    <m/>
    <m/>
    <m/>
    <x v="40"/>
    <x v="2"/>
    <m/>
    <m/>
    <m/>
    <m/>
    <m/>
    <x v="2"/>
    <m/>
    <x v="0"/>
    <m/>
  </r>
  <r>
    <m/>
    <m/>
    <m/>
    <x v="40"/>
    <x v="2"/>
    <m/>
    <m/>
    <m/>
    <m/>
    <m/>
    <x v="2"/>
    <m/>
    <x v="0"/>
    <m/>
  </r>
  <r>
    <m/>
    <m/>
    <m/>
    <x v="40"/>
    <x v="2"/>
    <m/>
    <m/>
    <m/>
    <m/>
    <m/>
    <x v="2"/>
    <m/>
    <x v="0"/>
    <m/>
  </r>
  <r>
    <m/>
    <m/>
    <m/>
    <x v="40"/>
    <x v="2"/>
    <m/>
    <m/>
    <m/>
    <m/>
    <m/>
    <x v="2"/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"/>
    <n v="130"/>
    <n v="130"/>
    <x v="0"/>
    <x v="0"/>
    <s v="RESTACKING"/>
    <s v="FIFO"/>
    <m/>
    <m/>
    <n v="500"/>
    <x v="0"/>
    <s v="EXT"/>
    <x v="0"/>
  </r>
  <r>
    <n v="2"/>
    <n v="191"/>
    <n v="164"/>
    <x v="1"/>
    <x v="1"/>
    <s v="SCRAP"/>
    <s v="FIFO"/>
    <m/>
    <m/>
    <n v="835"/>
    <x v="1"/>
    <s v="MIXING"/>
    <x v="0"/>
  </r>
  <r>
    <n v="3"/>
    <n v="198"/>
    <n v="165"/>
    <x v="2"/>
    <x v="1"/>
    <s v="SCRAP"/>
    <s v="FIFO"/>
    <m/>
    <m/>
    <n v="235"/>
    <x v="1"/>
    <s v="MIXING"/>
    <x v="0"/>
  </r>
  <r>
    <n v="4"/>
    <n v="79"/>
    <s v="4ROLL"/>
    <x v="2"/>
    <x v="0"/>
    <s v="ODS"/>
    <s v="FIFO"/>
    <m/>
    <m/>
    <n v="732"/>
    <x v="1"/>
    <s v="CALCUT"/>
    <x v="1"/>
  </r>
  <r>
    <n v="5"/>
    <n v="180"/>
    <s v="4ROLL"/>
    <x v="2"/>
    <x v="0"/>
    <s v="GILING DI 4ROLL"/>
    <s v="FIFO"/>
    <m/>
    <m/>
    <n v="647"/>
    <x v="1"/>
    <s v="CALCUT"/>
    <x v="1"/>
  </r>
  <r>
    <n v="6"/>
    <n v="13"/>
    <s v="A1"/>
    <x v="3"/>
    <x v="1"/>
    <s v="SCRAP"/>
    <s v="FIFO"/>
    <n v="1067"/>
    <n v="125"/>
    <n v="942"/>
    <x v="2"/>
    <s v="MIXING"/>
    <x v="0"/>
  </r>
  <r>
    <n v="7"/>
    <n v="81"/>
    <s v="A10"/>
    <x v="4"/>
    <x v="0"/>
    <s v="REMILL"/>
    <s v="FIFO"/>
    <m/>
    <m/>
    <n v="285"/>
    <x v="2"/>
    <s v="MIXING"/>
    <x v="0"/>
  </r>
  <r>
    <n v="8"/>
    <n v="10"/>
    <s v="A104"/>
    <x v="5"/>
    <x v="1"/>
    <s v="SCRAP"/>
    <s v="FIFO"/>
    <m/>
    <m/>
    <n v="848"/>
    <x v="2"/>
    <s v="MIXING"/>
    <x v="0"/>
  </r>
  <r>
    <n v="9"/>
    <n v="8"/>
    <s v="A105"/>
    <x v="5"/>
    <x v="1"/>
    <s v="SCRAP"/>
    <s v="FIFO"/>
    <m/>
    <m/>
    <n v="1132"/>
    <x v="2"/>
    <s v="MIXING"/>
    <x v="0"/>
  </r>
  <r>
    <n v="10"/>
    <n v="6"/>
    <s v="A107"/>
    <x v="6"/>
    <x v="1"/>
    <s v="SCRAP"/>
    <s v="FIFO"/>
    <m/>
    <m/>
    <n v="666"/>
    <x v="2"/>
    <s v="MIXING"/>
    <x v="0"/>
  </r>
  <r>
    <n v="11"/>
    <n v="4"/>
    <s v="A108"/>
    <x v="6"/>
    <x v="1"/>
    <s v="SCRAP"/>
    <s v="FIFO"/>
    <m/>
    <m/>
    <n v="943"/>
    <x v="2"/>
    <s v="MIXING"/>
    <x v="0"/>
  </r>
  <r>
    <n v="12"/>
    <n v="82"/>
    <s v="A11"/>
    <x v="2"/>
    <x v="0"/>
    <s v="GILING DI 4ROLL"/>
    <s v="FIFO"/>
    <m/>
    <m/>
    <n v="460"/>
    <x v="3"/>
    <s v="CALCUT"/>
    <x v="1"/>
  </r>
  <r>
    <n v="13"/>
    <n v="87"/>
    <s v="A13"/>
    <x v="4"/>
    <x v="0"/>
    <s v="CONGKEL"/>
    <s v="FIFO"/>
    <m/>
    <m/>
    <n v="366"/>
    <x v="2"/>
    <s v="MIXING"/>
    <x v="0"/>
  </r>
  <r>
    <n v="14"/>
    <n v="71"/>
    <s v="A14"/>
    <x v="7"/>
    <x v="0"/>
    <s v="GILING DI EXT"/>
    <s v="FIFO"/>
    <m/>
    <m/>
    <n v="288"/>
    <x v="2"/>
    <s v="EXT"/>
    <x v="0"/>
  </r>
  <r>
    <n v="15"/>
    <n v="61"/>
    <s v="A15"/>
    <x v="8"/>
    <x v="0"/>
    <s v="SELEKSI"/>
    <s v="FIFO"/>
    <m/>
    <m/>
    <n v="347"/>
    <x v="2"/>
    <s v="MIXING"/>
    <x v="0"/>
  </r>
  <r>
    <n v="16"/>
    <n v="154"/>
    <s v="B3"/>
    <x v="4"/>
    <x v="1"/>
    <s v="REMILL"/>
    <s v="FIFO"/>
    <m/>
    <m/>
    <n v="773"/>
    <x v="2"/>
    <s v="MIXING"/>
    <x v="0"/>
  </r>
  <r>
    <n v="17"/>
    <n v="275"/>
    <s v="A17"/>
    <x v="9"/>
    <x v="0"/>
    <s v="GILING DI EXT"/>
    <s v="FIFO"/>
    <m/>
    <m/>
    <n v="574"/>
    <x v="2"/>
    <s v="MIXING"/>
    <x v="0"/>
  </r>
  <r>
    <n v="18"/>
    <n v="274"/>
    <s v="A18"/>
    <x v="7"/>
    <x v="0"/>
    <s v="CONGKEL"/>
    <s v="FIFO"/>
    <m/>
    <m/>
    <n v="783"/>
    <x v="2"/>
    <s v="MIXING"/>
    <x v="0"/>
  </r>
  <r>
    <n v="19"/>
    <n v="82"/>
    <s v="A19"/>
    <x v="1"/>
    <x v="0"/>
    <s v="GILING DI EXT"/>
    <s v="FIFO"/>
    <m/>
    <m/>
    <n v="277"/>
    <x v="2"/>
    <s v="EXT"/>
    <x v="0"/>
  </r>
  <r>
    <n v="20"/>
    <n v="26"/>
    <s v="A2"/>
    <x v="3"/>
    <x v="1"/>
    <s v="SCRAP"/>
    <s v="FIFO"/>
    <n v="1095"/>
    <n v="125"/>
    <n v="970"/>
    <x v="2"/>
    <s v="MIXING"/>
    <x v="0"/>
  </r>
  <r>
    <n v="21"/>
    <n v="272"/>
    <s v="A20"/>
    <x v="7"/>
    <x v="0"/>
    <s v="GILING DI EXT"/>
    <s v="FIFO"/>
    <m/>
    <m/>
    <n v="343"/>
    <x v="2"/>
    <s v="EXT"/>
    <x v="0"/>
  </r>
  <r>
    <n v="22"/>
    <n v="271"/>
    <s v="A21"/>
    <x v="10"/>
    <x v="0"/>
    <s v="CONGKEL"/>
    <s v="FIFO"/>
    <m/>
    <m/>
    <n v="562"/>
    <x v="4"/>
    <s v="MIXING"/>
    <x v="0"/>
  </r>
  <r>
    <n v="23"/>
    <n v="18"/>
    <s v="A22"/>
    <x v="3"/>
    <x v="0"/>
    <s v="SEGREGASI"/>
    <s v="FIFO"/>
    <m/>
    <m/>
    <n v="274"/>
    <x v="2"/>
    <s v="MIXING"/>
    <x v="0"/>
  </r>
  <r>
    <n v="24"/>
    <n v="14"/>
    <s v="A23"/>
    <x v="3"/>
    <x v="1"/>
    <s v="SCRAP"/>
    <s v="FIFO"/>
    <m/>
    <m/>
    <n v="583"/>
    <x v="5"/>
    <s v="MIXING"/>
    <x v="0"/>
  </r>
  <r>
    <n v="25"/>
    <n v="270"/>
    <s v="A23"/>
    <x v="11"/>
    <x v="0"/>
    <s v="CONGKEL"/>
    <s v="FIFO"/>
    <m/>
    <m/>
    <n v="353"/>
    <x v="6"/>
    <s v="MIXING"/>
    <x v="0"/>
  </r>
  <r>
    <n v="26"/>
    <n v="9"/>
    <s v="A25"/>
    <x v="4"/>
    <x v="1"/>
    <s v="SCRAP"/>
    <s v="FIFO"/>
    <m/>
    <m/>
    <n v="498"/>
    <x v="2"/>
    <s v="MIXING"/>
    <x v="0"/>
  </r>
  <r>
    <n v="27"/>
    <n v="40"/>
    <s v="A26"/>
    <x v="4"/>
    <x v="0"/>
    <s v="CONGKEL"/>
    <s v="FIFO"/>
    <m/>
    <m/>
    <n v="758"/>
    <x v="2"/>
    <s v="MIXING"/>
    <x v="0"/>
  </r>
  <r>
    <n v="28"/>
    <n v="11"/>
    <s v="A50"/>
    <x v="3"/>
    <x v="1"/>
    <s v="SCRAP"/>
    <s v="FIFO"/>
    <m/>
    <m/>
    <n v="257"/>
    <x v="7"/>
    <s v="MIXING"/>
    <x v="0"/>
  </r>
  <r>
    <n v="29"/>
    <n v="114"/>
    <s v="A26"/>
    <x v="12"/>
    <x v="0"/>
    <s v="POTONG-POTONG"/>
    <s v="FIFO"/>
    <m/>
    <m/>
    <n v="500"/>
    <x v="0"/>
    <s v="MIXING "/>
    <x v="0"/>
  </r>
  <r>
    <n v="30"/>
    <n v="161"/>
    <s v="A27"/>
    <x v="3"/>
    <x v="0"/>
    <s v="RESTACKING"/>
    <s v="FIFO"/>
    <m/>
    <m/>
    <n v="810"/>
    <x v="2"/>
    <s v="MIXING"/>
    <x v="0"/>
  </r>
  <r>
    <n v="31"/>
    <n v="69"/>
    <s v="A28"/>
    <x v="3"/>
    <x v="0"/>
    <s v="RESTACKING"/>
    <s v="FIFO"/>
    <m/>
    <m/>
    <n v="291"/>
    <x v="6"/>
    <s v="MIXING"/>
    <x v="0"/>
  </r>
  <r>
    <n v="32"/>
    <n v="280"/>
    <s v="A29"/>
    <x v="13"/>
    <x v="0"/>
    <s v="CONGKEL"/>
    <s v="FIFO"/>
    <m/>
    <m/>
    <n v="350"/>
    <x v="2"/>
    <s v="MIXING"/>
    <x v="0"/>
  </r>
  <r>
    <n v="33"/>
    <n v="24"/>
    <s v="A3"/>
    <x v="3"/>
    <x v="1"/>
    <s v="SCRAP"/>
    <s v="FIFO"/>
    <n v="517"/>
    <n v="103"/>
    <n v="414"/>
    <x v="2"/>
    <s v="MIXING"/>
    <x v="0"/>
  </r>
  <r>
    <n v="34"/>
    <n v="49"/>
    <s v="A30"/>
    <x v="8"/>
    <x v="0"/>
    <s v="GILING DI EXT"/>
    <s v="FIFO"/>
    <m/>
    <m/>
    <n v="320"/>
    <x v="2"/>
    <s v="EXT"/>
    <x v="0"/>
  </r>
  <r>
    <n v="35"/>
    <n v="279"/>
    <s v="A31"/>
    <x v="14"/>
    <x v="0"/>
    <s v="RESTACKING"/>
    <s v="FIFO"/>
    <m/>
    <m/>
    <n v="298"/>
    <x v="2"/>
    <s v="MIXING"/>
    <x v="0"/>
  </r>
  <r>
    <n v="36"/>
    <n v="278"/>
    <s v="A32"/>
    <x v="4"/>
    <x v="0"/>
    <s v="RESTACKING"/>
    <s v="FIFO"/>
    <m/>
    <m/>
    <n v="434"/>
    <x v="2"/>
    <s v="MIXING"/>
    <x v="0"/>
  </r>
  <r>
    <n v="37"/>
    <n v="277"/>
    <s v="A33"/>
    <x v="14"/>
    <x v="0"/>
    <s v="RESTACKING"/>
    <s v="FIFO"/>
    <m/>
    <m/>
    <n v="235"/>
    <x v="2"/>
    <s v="MIXING"/>
    <x v="0"/>
  </r>
  <r>
    <n v="38"/>
    <n v="201"/>
    <s v="A38"/>
    <x v="8"/>
    <x v="1"/>
    <s v="SCRAP"/>
    <s v="FIFO"/>
    <m/>
    <m/>
    <n v="574"/>
    <x v="1"/>
    <s v="EXT"/>
    <x v="0"/>
  </r>
  <r>
    <n v="39"/>
    <n v="36"/>
    <s v="A4"/>
    <x v="3"/>
    <x v="1"/>
    <s v="LUMPY"/>
    <s v="FIFO"/>
    <m/>
    <m/>
    <n v="441"/>
    <x v="2"/>
    <s v="MIXING"/>
    <x v="0"/>
  </r>
  <r>
    <n v="40"/>
    <n v="47"/>
    <s v="A52"/>
    <x v="14"/>
    <x v="1"/>
    <s v="SCRAP"/>
    <s v="FIFO"/>
    <m/>
    <m/>
    <n v="375"/>
    <x v="2"/>
    <s v="MIXING"/>
    <x v="0"/>
  </r>
  <r>
    <n v="41"/>
    <n v="27"/>
    <s v="A5"/>
    <x v="3"/>
    <x v="1"/>
    <s v="RESTACKING"/>
    <s v="FIFO"/>
    <m/>
    <m/>
    <n v="290"/>
    <x v="2"/>
    <s v="MIXING"/>
    <x v="0"/>
  </r>
  <r>
    <n v="42"/>
    <n v="225"/>
    <s v="A53"/>
    <x v="15"/>
    <x v="1"/>
    <s v="LUMPY PARAH"/>
    <s v="FIFO"/>
    <m/>
    <m/>
    <n v="469"/>
    <x v="2"/>
    <s v="MIXING"/>
    <x v="0"/>
  </r>
  <r>
    <n v="43"/>
    <n v="137"/>
    <s v="B4"/>
    <x v="4"/>
    <x v="1"/>
    <s v="SCRAP"/>
    <s v="FIFO"/>
    <m/>
    <m/>
    <n v="741"/>
    <x v="2"/>
    <s v="MIXING"/>
    <x v="0"/>
  </r>
  <r>
    <n v="44"/>
    <n v="134"/>
    <s v="A59"/>
    <x v="16"/>
    <x v="1"/>
    <s v="SCRAP"/>
    <s v="FIFO"/>
    <m/>
    <m/>
    <n v="399"/>
    <x v="2"/>
    <s v="MIXING"/>
    <x v="0"/>
  </r>
  <r>
    <n v="45"/>
    <n v="2"/>
    <s v="A6"/>
    <x v="3"/>
    <x v="1"/>
    <s v="SCRAP"/>
    <s v="FIFO"/>
    <m/>
    <m/>
    <n v="681"/>
    <x v="2"/>
    <s v="MIXING"/>
    <x v="0"/>
  </r>
  <r>
    <n v="46"/>
    <n v="69"/>
    <s v="A60"/>
    <x v="17"/>
    <x v="1"/>
    <s v="SCRAP"/>
    <s v="FIFO"/>
    <m/>
    <m/>
    <n v="373"/>
    <x v="2"/>
    <s v="MIXING"/>
    <x v="0"/>
  </r>
  <r>
    <n v="47"/>
    <n v="141"/>
    <s v="A61"/>
    <x v="1"/>
    <x v="1"/>
    <s v="SCRAP"/>
    <s v="FIFO"/>
    <m/>
    <m/>
    <n v="473"/>
    <x v="2"/>
    <s v="MIXING"/>
    <x v="0"/>
  </r>
  <r>
    <n v="48"/>
    <n v="143"/>
    <s v="A62"/>
    <x v="1"/>
    <x v="1"/>
    <s v="SCRAP"/>
    <s v="FIFO"/>
    <m/>
    <m/>
    <n v="746"/>
    <x v="2"/>
    <s v="MIXING"/>
    <x v="0"/>
  </r>
  <r>
    <n v="49"/>
    <n v="137"/>
    <s v="B49"/>
    <x v="4"/>
    <x v="1"/>
    <s v="SCRAP"/>
    <s v="FIFO"/>
    <m/>
    <m/>
    <n v="741"/>
    <x v="2"/>
    <s v="MIXING"/>
    <x v="0"/>
  </r>
  <r>
    <n v="50"/>
    <n v="29"/>
    <s v="B50"/>
    <x v="4"/>
    <x v="1"/>
    <s v="SCRAP"/>
    <s v="FIFO"/>
    <m/>
    <m/>
    <n v="136"/>
    <x v="2"/>
    <s v="MIXING"/>
    <x v="0"/>
  </r>
  <r>
    <n v="51"/>
    <n v="88"/>
    <s v="A67"/>
    <x v="18"/>
    <x v="1"/>
    <s v="SCRAP"/>
    <s v="FIFO"/>
    <m/>
    <m/>
    <n v="550"/>
    <x v="2"/>
    <s v="MIXING"/>
    <x v="0"/>
  </r>
  <r>
    <n v="52"/>
    <n v="89"/>
    <s v="A68"/>
    <x v="19"/>
    <x v="1"/>
    <s v="SCRAP"/>
    <s v="FIFO"/>
    <m/>
    <m/>
    <n v="273"/>
    <x v="2"/>
    <s v="MIXING"/>
    <x v="0"/>
  </r>
  <r>
    <n v="53"/>
    <n v="134"/>
    <s v="A8"/>
    <x v="3"/>
    <x v="0"/>
    <s v="RESTACKING"/>
    <s v="FIFO"/>
    <m/>
    <m/>
    <n v="500"/>
    <x v="2"/>
    <s v="CALCUT"/>
    <x v="2"/>
  </r>
  <r>
    <n v="54"/>
    <n v="65"/>
    <s v="A8"/>
    <x v="15"/>
    <x v="0"/>
    <s v="OK T16R5"/>
    <s v="FIFO"/>
    <m/>
    <m/>
    <n v="500"/>
    <x v="0"/>
    <s v="MIXING "/>
    <x v="0"/>
  </r>
  <r>
    <n v="55"/>
    <n v="27"/>
    <s v="A9"/>
    <x v="3"/>
    <x v="1"/>
    <s v="SCRAP"/>
    <s v="FIFO"/>
    <n v="959"/>
    <n v="125"/>
    <n v="834"/>
    <x v="2"/>
    <s v="MIXING"/>
    <x v="2"/>
  </r>
  <r>
    <n v="56"/>
    <n v="62"/>
    <s v="A91"/>
    <x v="20"/>
    <x v="1"/>
    <s v="SCRAP"/>
    <s v="FIFO"/>
    <m/>
    <m/>
    <n v="543"/>
    <x v="0"/>
    <s v="MIXING"/>
    <x v="0"/>
  </r>
  <r>
    <n v="57"/>
    <n v="9"/>
    <s v="B1"/>
    <x v="3"/>
    <x v="1"/>
    <s v="SCRAP"/>
    <s v="FIFO"/>
    <m/>
    <m/>
    <n v="1039"/>
    <x v="2"/>
    <s v="MIXING"/>
    <x v="0"/>
  </r>
  <r>
    <n v="58"/>
    <n v="7"/>
    <s v="B10"/>
    <x v="5"/>
    <x v="1"/>
    <s v="SCRAP"/>
    <s v="FIFO"/>
    <m/>
    <m/>
    <n v="553"/>
    <x v="2"/>
    <s v="MIXING"/>
    <x v="0"/>
  </r>
  <r>
    <n v="59"/>
    <n v="5"/>
    <s v="B104"/>
    <x v="5"/>
    <x v="1"/>
    <s v="SCRAP"/>
    <s v="FIFO"/>
    <m/>
    <m/>
    <n v="532"/>
    <x v="2"/>
    <s v="MIXING"/>
    <x v="0"/>
  </r>
  <r>
    <n v="60"/>
    <n v="3"/>
    <s v="B105"/>
    <x v="6"/>
    <x v="1"/>
    <s v="SCRAP"/>
    <s v="FIFO"/>
    <m/>
    <m/>
    <n v="1116"/>
    <x v="2"/>
    <s v="MIXING"/>
    <x v="0"/>
  </r>
  <r>
    <n v="61"/>
    <n v="82"/>
    <s v="A7"/>
    <x v="3"/>
    <x v="0"/>
    <s v="GILING DI EXT"/>
    <s v="FIFO"/>
    <m/>
    <m/>
    <n v="533"/>
    <x v="2"/>
    <s v="EXT"/>
    <x v="0"/>
  </r>
  <r>
    <n v="62"/>
    <n v="79"/>
    <s v="B107"/>
    <x v="6"/>
    <x v="0"/>
    <s v="EXT"/>
    <s v="FIFO"/>
    <m/>
    <m/>
    <n v="500"/>
    <x v="2"/>
    <s v="EXT"/>
    <x v="0"/>
  </r>
  <r>
    <n v="63"/>
    <n v="83"/>
    <s v="B108"/>
    <x v="6"/>
    <x v="1"/>
    <s v="SCRAP"/>
    <s v="FIFO"/>
    <m/>
    <m/>
    <n v="500"/>
    <x v="2"/>
    <s v="EXT"/>
    <x v="0"/>
  </r>
  <r>
    <n v="64"/>
    <n v="45"/>
    <s v="B11"/>
    <x v="1"/>
    <x v="0"/>
    <s v="GILING DI EXT"/>
    <s v="FIFO"/>
    <m/>
    <m/>
    <n v="145"/>
    <x v="2"/>
    <s v="EXT"/>
    <x v="0"/>
  </r>
  <r>
    <n v="65"/>
    <n v="178"/>
    <s v="B119"/>
    <x v="17"/>
    <x v="0"/>
    <s v="SEGREGASI"/>
    <s v="FIFO"/>
    <m/>
    <m/>
    <n v="651"/>
    <x v="0"/>
    <s v="MIXING"/>
    <x v="3"/>
  </r>
  <r>
    <n v="66"/>
    <n v="158"/>
    <s v="B119"/>
    <x v="17"/>
    <x v="1"/>
    <s v="SCRAP"/>
    <s v="FIFO"/>
    <m/>
    <m/>
    <n v="390"/>
    <x v="3"/>
    <s v="MIXING"/>
    <x v="0"/>
  </r>
  <r>
    <n v="67"/>
    <n v="6"/>
    <s v="B12"/>
    <x v="1"/>
    <x v="0"/>
    <s v="SEGREGASI"/>
    <s v="FIFO"/>
    <m/>
    <m/>
    <n v="195"/>
    <x v="2"/>
    <s v="MIXING"/>
    <x v="0"/>
  </r>
  <r>
    <n v="68"/>
    <n v="160"/>
    <s v="B13"/>
    <x v="4"/>
    <x v="1"/>
    <s v="SCRAP"/>
    <s v="FIFO"/>
    <m/>
    <m/>
    <n v="500"/>
    <x v="2"/>
    <s v="MIXING "/>
    <x v="0"/>
  </r>
  <r>
    <n v="69"/>
    <n v="81"/>
    <s v="B14"/>
    <x v="2"/>
    <x v="0"/>
    <s v="RESTACKING"/>
    <s v="FIFO"/>
    <m/>
    <m/>
    <n v="328"/>
    <x v="2"/>
    <s v="EXT"/>
    <x v="0"/>
  </r>
  <r>
    <n v="70"/>
    <n v="16"/>
    <s v="B15"/>
    <x v="4"/>
    <x v="0"/>
    <s v="OK"/>
    <s v="FIFO"/>
    <n v="297"/>
    <n v="66"/>
    <n v="231"/>
    <x v="2"/>
    <s v="MIXING"/>
    <x v="0"/>
  </r>
  <r>
    <n v="71"/>
    <n v="19"/>
    <s v="B15"/>
    <x v="21"/>
    <x v="0"/>
    <s v="CONGKEL"/>
    <s v="FIFO"/>
    <n v="415"/>
    <n v="88"/>
    <n v="327"/>
    <x v="8"/>
    <s v="MIXING"/>
    <x v="0"/>
  </r>
  <r>
    <n v="72"/>
    <n v="125"/>
    <s v="B16"/>
    <x v="14"/>
    <x v="0"/>
    <s v="RESTACKING"/>
    <s v="FIFO"/>
    <n v="678"/>
    <n v="66"/>
    <n v="612"/>
    <x v="9"/>
    <s v="EXT"/>
    <x v="3"/>
  </r>
  <r>
    <n v="73"/>
    <n v="273"/>
    <s v="B17"/>
    <x v="22"/>
    <x v="0"/>
    <s v="CONGKEL"/>
    <s v="FIFO"/>
    <m/>
    <m/>
    <n v="649"/>
    <x v="8"/>
    <s v="MIXING"/>
    <x v="0"/>
  </r>
  <r>
    <n v="74"/>
    <n v="17"/>
    <s v="B18"/>
    <x v="22"/>
    <x v="1"/>
    <s v="SCRAP"/>
    <s v="FIFO"/>
    <n v="938"/>
    <n v="104"/>
    <n v="834"/>
    <x v="2"/>
    <s v="MIXING"/>
    <x v="0"/>
  </r>
  <r>
    <n v="75"/>
    <n v="31"/>
    <s v="B19"/>
    <x v="17"/>
    <x v="0"/>
    <s v="MILL DI 4ROLL"/>
    <s v="FIFO"/>
    <n v="960"/>
    <n v="87"/>
    <n v="873"/>
    <x v="7"/>
    <s v="CALCUT"/>
    <x v="3"/>
  </r>
  <r>
    <n v="76"/>
    <n v="59"/>
    <s v="B19"/>
    <x v="17"/>
    <x v="0"/>
    <s v="COBA GILING DI EXT"/>
    <s v="FIFO"/>
    <m/>
    <m/>
    <n v="226"/>
    <x v="9"/>
    <s v="EXT"/>
    <x v="0"/>
  </r>
  <r>
    <n v="77"/>
    <n v="150"/>
    <s v="B2"/>
    <x v="3"/>
    <x v="0"/>
    <s v="GILING DI EXT"/>
    <s v="FIFO"/>
    <n v="375"/>
    <n v="79"/>
    <n v="296"/>
    <x v="2"/>
    <s v="EXT"/>
    <x v="0"/>
  </r>
  <r>
    <n v="78"/>
    <n v="175"/>
    <s v="B20"/>
    <x v="15"/>
    <x v="0"/>
    <s v="RESTACKING"/>
    <s v="FIFO"/>
    <n v="318"/>
    <n v="66"/>
    <n v="252"/>
    <x v="1"/>
    <s v="MIXING"/>
    <x v="0"/>
  </r>
  <r>
    <n v="79"/>
    <n v="97"/>
    <s v="B20"/>
    <x v="23"/>
    <x v="0"/>
    <s v="RESTACKING"/>
    <s v="FIFO"/>
    <n v="472"/>
    <n v="84"/>
    <n v="388"/>
    <x v="7"/>
    <s v="MIXING"/>
    <x v="0"/>
  </r>
  <r>
    <n v="80"/>
    <n v="173"/>
    <s v="B21"/>
    <x v="14"/>
    <x v="0"/>
    <s v="REMILL"/>
    <s v="FIFO"/>
    <n v="1067"/>
    <n v="113"/>
    <n v="954"/>
    <x v="7"/>
    <s v="MIXING"/>
    <x v="0"/>
  </r>
  <r>
    <n v="81"/>
    <n v="56"/>
    <s v="B22"/>
    <x v="3"/>
    <x v="0"/>
    <s v="COBA GILING DI EXT"/>
    <s v="FIFO"/>
    <m/>
    <m/>
    <n v="151"/>
    <x v="2"/>
    <s v="EXT"/>
    <x v="0"/>
  </r>
  <r>
    <n v="82"/>
    <n v="9"/>
    <s v="B23"/>
    <x v="3"/>
    <x v="0"/>
    <s v="RESTACKING"/>
    <s v="FIFO"/>
    <n v="225"/>
    <n v="66"/>
    <n v="159"/>
    <x v="9"/>
    <s v="MIXING"/>
    <x v="0"/>
  </r>
  <r>
    <n v="83"/>
    <n v="37"/>
    <s v="B24"/>
    <x v="3"/>
    <x v="0"/>
    <s v="RESTACKING"/>
    <s v="FIFO"/>
    <n v="458"/>
    <n v="87"/>
    <n v="371"/>
    <x v="2"/>
    <s v="MIXING"/>
    <x v="0"/>
  </r>
  <r>
    <n v="84"/>
    <n v="143"/>
    <s v="B24"/>
    <x v="23"/>
    <x v="0"/>
    <s v="RESTACKING"/>
    <s v="FIFO"/>
    <m/>
    <m/>
    <n v="500"/>
    <x v="2"/>
    <s v="MIXING "/>
    <x v="0"/>
  </r>
  <r>
    <n v="85"/>
    <n v="16"/>
    <s v="B25"/>
    <x v="4"/>
    <x v="0"/>
    <s v="CONGKEL"/>
    <s v="FIFO"/>
    <n v="417"/>
    <n v="87"/>
    <n v="330"/>
    <x v="2"/>
    <s v="MIXING"/>
    <x v="0"/>
  </r>
  <r>
    <n v="86"/>
    <n v="30"/>
    <s v="B26"/>
    <x v="8"/>
    <x v="0"/>
    <s v="REMILL"/>
    <s v="FIFO"/>
    <n v="862"/>
    <n v="66"/>
    <n v="796"/>
    <x v="2"/>
    <s v="MIXING"/>
    <x v="0"/>
  </r>
  <r>
    <n v="87"/>
    <n v="15"/>
    <s v="B27"/>
    <x v="4"/>
    <x v="1"/>
    <s v="SCRAP"/>
    <s v="FIFO"/>
    <n v="771"/>
    <n v="85"/>
    <n v="686"/>
    <x v="2"/>
    <s v="MIXING"/>
    <x v="0"/>
  </r>
  <r>
    <n v="88"/>
    <n v="24"/>
    <s v="B27"/>
    <x v="21"/>
    <x v="0"/>
    <s v="SEGREGASI"/>
    <s v="FIFO"/>
    <n v="1049"/>
    <n v="103"/>
    <n v="946"/>
    <x v="0"/>
    <s v="MIXING"/>
    <x v="0"/>
  </r>
  <r>
    <n v="89"/>
    <n v="23"/>
    <s v="B28"/>
    <x v="3"/>
    <x v="0"/>
    <s v="CONGKEL"/>
    <s v="FIFO"/>
    <n v="361"/>
    <n v="66"/>
    <n v="295"/>
    <x v="2"/>
    <s v="MIXING"/>
    <x v="0"/>
  </r>
  <r>
    <n v="90"/>
    <n v="39"/>
    <s v="B29"/>
    <x v="3"/>
    <x v="0"/>
    <s v="SEGREGASI"/>
    <s v="FIFO"/>
    <n v="941"/>
    <n v="113"/>
    <n v="828"/>
    <x v="2"/>
    <s v="EXT"/>
    <x v="0"/>
  </r>
  <r>
    <n v="91"/>
    <n v="35"/>
    <s v="B3"/>
    <x v="3"/>
    <x v="0"/>
    <s v="PISAHIN"/>
    <s v="FIFO"/>
    <n v="573"/>
    <n v="125"/>
    <n v="448"/>
    <x v="10"/>
    <s v="MIXING"/>
    <x v="4"/>
  </r>
  <r>
    <n v="92"/>
    <n v="27"/>
    <s v="B30"/>
    <x v="3"/>
    <x v="0"/>
    <s v="SEGREGASI"/>
    <s v="FIFO"/>
    <n v="514"/>
    <n v="66"/>
    <n v="448"/>
    <x v="2"/>
    <s v="MIXING"/>
    <x v="0"/>
  </r>
  <r>
    <n v="93"/>
    <n v="98"/>
    <s v="B31"/>
    <x v="22"/>
    <x v="0"/>
    <s v="CONGKEL"/>
    <s v="FIFO"/>
    <m/>
    <m/>
    <n v="500"/>
    <x v="2"/>
    <s v="EXT"/>
    <x v="0"/>
  </r>
  <r>
    <n v="94"/>
    <n v="21"/>
    <s v="B32"/>
    <x v="17"/>
    <x v="0"/>
    <s v="RESTACKING"/>
    <s v="FIFO"/>
    <n v="741"/>
    <n v="104"/>
    <n v="637"/>
    <x v="2"/>
    <s v="EXT"/>
    <x v="0"/>
  </r>
  <r>
    <n v="95"/>
    <n v="15"/>
    <s v="B33"/>
    <x v="21"/>
    <x v="0"/>
    <s v="PISAHIN"/>
    <s v="FIFO"/>
    <n v="266"/>
    <n v="84"/>
    <n v="182"/>
    <x v="2"/>
    <s v="EXT"/>
    <x v="0"/>
  </r>
  <r>
    <n v="96"/>
    <n v="12"/>
    <s v="B34"/>
    <x v="22"/>
    <x v="0"/>
    <s v="SEGREGASI"/>
    <s v="FIFO"/>
    <n v="644"/>
    <n v="123"/>
    <n v="521"/>
    <x v="7"/>
    <s v="EXT"/>
    <x v="0"/>
  </r>
  <r>
    <n v="97"/>
    <n v="4"/>
    <s v="B34"/>
    <x v="8"/>
    <x v="0"/>
    <s v="SEGREGASI"/>
    <s v="FIFO"/>
    <n v="722"/>
    <n v="103"/>
    <n v="619"/>
    <x v="0"/>
    <s v="MIXING"/>
    <x v="5"/>
  </r>
  <r>
    <n v="98"/>
    <n v="13"/>
    <s v="B35"/>
    <x v="17"/>
    <x v="0"/>
    <s v="CONGKEL"/>
    <s v="FIFO"/>
    <n v="733"/>
    <n v="84"/>
    <n v="649"/>
    <x v="7"/>
    <s v="MIXING"/>
    <x v="5"/>
  </r>
  <r>
    <n v="99"/>
    <n v="33"/>
    <s v="B36"/>
    <x v="17"/>
    <x v="1"/>
    <s v="SCRAP"/>
    <s v="FIFO"/>
    <m/>
    <m/>
    <n v="321"/>
    <x v="2"/>
    <s v="MIXING"/>
    <x v="0"/>
  </r>
  <r>
    <n v="100"/>
    <n v="95"/>
    <s v="B37"/>
    <x v="8"/>
    <x v="1"/>
    <s v="SCRAP"/>
    <s v="FIFO"/>
    <n v="378"/>
    <n v="66"/>
    <n v="312"/>
    <x v="9"/>
    <s v="MIXING"/>
    <x v="0"/>
  </r>
  <r>
    <n v="101"/>
    <n v="37"/>
    <s v="B38"/>
    <x v="22"/>
    <x v="0"/>
    <s v="RESTACKING"/>
    <s v="FIFO"/>
    <n v="673"/>
    <n v="125"/>
    <n v="548"/>
    <x v="9"/>
    <s v="MIXING"/>
    <x v="0"/>
  </r>
  <r>
    <n v="102"/>
    <n v="11"/>
    <s v="B39"/>
    <x v="22"/>
    <x v="1"/>
    <s v="SCRAP"/>
    <s v="FIFO"/>
    <n v="716"/>
    <n v="125"/>
    <n v="591"/>
    <x v="2"/>
    <s v="MIXING"/>
    <x v="0"/>
  </r>
  <r>
    <n v="103"/>
    <n v="14"/>
    <s v="B4"/>
    <x v="3"/>
    <x v="1"/>
    <s v="SCRAP"/>
    <s v="FIFO"/>
    <n v="866"/>
    <n v="103"/>
    <n v="763"/>
    <x v="10"/>
    <s v="EXT"/>
    <x v="6"/>
  </r>
  <r>
    <n v="104"/>
    <n v="25"/>
    <s v="A51"/>
    <x v="1"/>
    <x v="1"/>
    <s v="SCRAP"/>
    <s v="FIFO"/>
    <n v="933"/>
    <n v="87"/>
    <n v="846"/>
    <x v="2"/>
    <s v="MIXING"/>
    <x v="0"/>
  </r>
  <r>
    <n v="105"/>
    <n v="26"/>
    <s v="B5"/>
    <x v="3"/>
    <x v="1"/>
    <s v="SCRAP"/>
    <s v="FIFO"/>
    <n v="864"/>
    <n v="125"/>
    <n v="739"/>
    <x v="7"/>
    <s v="CALCUT"/>
    <x v="7"/>
  </r>
  <r>
    <n v="106"/>
    <n v="12"/>
    <s v="A55"/>
    <x v="24"/>
    <x v="1"/>
    <s v="SCRAP"/>
    <s v="FIFO"/>
    <n v="416"/>
    <n v="103"/>
    <n v="313"/>
    <x v="2"/>
    <s v="MIXING"/>
    <x v="0"/>
  </r>
  <r>
    <n v="107"/>
    <n v="8"/>
    <s v="A56"/>
    <x v="17"/>
    <x v="1"/>
    <s v="SCRAP"/>
    <s v="FIFO"/>
    <n v="344"/>
    <n v="125"/>
    <n v="219"/>
    <x v="2"/>
    <s v="MIXING"/>
    <x v="0"/>
  </r>
  <r>
    <n v="108"/>
    <n v="158"/>
    <s v="B52"/>
    <x v="21"/>
    <x v="1"/>
    <s v="SCRAP"/>
    <s v="FIFO"/>
    <n v="578"/>
    <n v="66"/>
    <n v="512"/>
    <x v="2"/>
    <s v="MIXING"/>
    <x v="0"/>
  </r>
  <r>
    <n v="109"/>
    <n v="157"/>
    <s v="B53"/>
    <x v="25"/>
    <x v="1"/>
    <s v="SCRAP"/>
    <s v="FIFO"/>
    <n v="380"/>
    <n v="103"/>
    <n v="277"/>
    <x v="2"/>
    <s v="EXT"/>
    <x v="0"/>
  </r>
  <r>
    <n v="110"/>
    <n v="31"/>
    <s v="B55"/>
    <x v="22"/>
    <x v="1"/>
    <s v="SCRAP"/>
    <s v="FIFO"/>
    <n v="642"/>
    <n v="104"/>
    <n v="538"/>
    <x v="2"/>
    <s v="MIXING"/>
    <x v="0"/>
  </r>
  <r>
    <n v="111"/>
    <n v="111"/>
    <s v="B56"/>
    <x v="3"/>
    <x v="1"/>
    <s v="SCRAP"/>
    <s v="FIFO"/>
    <n v="247"/>
    <n v="125"/>
    <n v="122"/>
    <x v="4"/>
    <s v="EXT"/>
    <x v="0"/>
  </r>
  <r>
    <n v="112"/>
    <n v="154"/>
    <s v="B58"/>
    <x v="4"/>
    <x v="1"/>
    <s v="SCRAP"/>
    <s v="FIFO"/>
    <n v="762"/>
    <n v="125"/>
    <n v="637"/>
    <x v="10"/>
    <s v="EXT"/>
    <x v="6"/>
  </r>
  <r>
    <n v="113"/>
    <n v="123"/>
    <s v="B59"/>
    <x v="17"/>
    <x v="1"/>
    <s v="SCRAP"/>
    <s v="FIFO"/>
    <n v="542"/>
    <n v="125"/>
    <n v="417"/>
    <x v="2"/>
    <s v="EXT"/>
    <x v="0"/>
  </r>
  <r>
    <n v="114"/>
    <n v="124"/>
    <s v="B6"/>
    <x v="1"/>
    <x v="1"/>
    <s v="SCRAP"/>
    <s v="FIFO"/>
    <n v="663"/>
    <n v="103"/>
    <n v="560"/>
    <x v="2"/>
    <s v="EXT"/>
    <x v="0"/>
  </r>
  <r>
    <n v="115"/>
    <n v="35"/>
    <s v="B60"/>
    <x v="17"/>
    <x v="1"/>
    <s v="SCRAP"/>
    <s v="FIFO"/>
    <n v="1027"/>
    <n v="103"/>
    <n v="924"/>
    <x v="10"/>
    <s v="EXT"/>
    <x v="6"/>
  </r>
  <r>
    <n v="116"/>
    <n v="73"/>
    <s v="B61"/>
    <x v="8"/>
    <x v="1"/>
    <s v="CONGKEL"/>
    <s v="FIFO"/>
    <n v="389"/>
    <n v="125"/>
    <n v="264"/>
    <x v="2"/>
    <s v="EXT"/>
    <x v="0"/>
  </r>
  <r>
    <n v="117"/>
    <n v="75"/>
    <s v="B62"/>
    <x v="8"/>
    <x v="1"/>
    <s v="CONGKEL"/>
    <s v="FIFO"/>
    <n v="691"/>
    <n v="103"/>
    <n v="588"/>
    <x v="2"/>
    <s v="EXT"/>
    <x v="0"/>
  </r>
  <r>
    <n v="118"/>
    <n v="56"/>
    <s v="B63"/>
    <x v="8"/>
    <x v="0"/>
    <s v="RESTACKING"/>
    <s v="FIFO"/>
    <m/>
    <m/>
    <n v="429"/>
    <x v="2"/>
    <s v="MIXING"/>
    <x v="0"/>
  </r>
  <r>
    <n v="119"/>
    <n v="83"/>
    <s v="B64"/>
    <x v="26"/>
    <x v="1"/>
    <s v="SCRAP"/>
    <s v="FIFO"/>
    <m/>
    <m/>
    <n v="189"/>
    <x v="2"/>
    <s v="EXT"/>
    <x v="0"/>
  </r>
  <r>
    <n v="120"/>
    <n v="85"/>
    <s v="B65"/>
    <x v="11"/>
    <x v="0"/>
    <s v="GILING DI EXT"/>
    <s v="FIFO"/>
    <m/>
    <m/>
    <n v="218"/>
    <x v="7"/>
    <s v="EXT"/>
    <x v="0"/>
  </r>
  <r>
    <n v="121"/>
    <n v="62"/>
    <s v="B66"/>
    <x v="8"/>
    <x v="0"/>
    <s v="CONGKEL &amp; RESTACKING"/>
    <s v="FIFO"/>
    <m/>
    <m/>
    <n v="500"/>
    <x v="7"/>
    <s v="EXT"/>
    <x v="0"/>
  </r>
  <r>
    <n v="122"/>
    <n v="64"/>
    <s v="B67"/>
    <x v="4"/>
    <x v="0"/>
    <s v="CONGKEL (OK)"/>
    <s v="FIFO"/>
    <m/>
    <m/>
    <n v="500"/>
    <x v="2"/>
    <s v="EXT"/>
    <x v="0"/>
  </r>
  <r>
    <n v="123"/>
    <n v="84"/>
    <s v="B68"/>
    <x v="9"/>
    <x v="0"/>
    <s v="GILING DI EXT"/>
    <s v="FIFO"/>
    <m/>
    <m/>
    <n v="217"/>
    <x v="2"/>
    <s v="EXT"/>
    <x v="0"/>
  </r>
  <r>
    <n v="124"/>
    <n v="28"/>
    <s v="B7"/>
    <x v="17"/>
    <x v="0"/>
    <s v="RESTACKING"/>
    <s v="FIFO"/>
    <m/>
    <m/>
    <n v="680"/>
    <x v="2"/>
    <s v="MIXING"/>
    <x v="0"/>
  </r>
  <r>
    <n v="125"/>
    <n v="99"/>
    <s v="B7"/>
    <x v="1"/>
    <x v="0"/>
    <s v="REMILL"/>
    <s v="FIFO"/>
    <m/>
    <m/>
    <n v="560"/>
    <x v="11"/>
    <s v="MIXING"/>
    <x v="0"/>
  </r>
  <r>
    <n v="126"/>
    <n v="29"/>
    <s v="B8"/>
    <x v="3"/>
    <x v="0"/>
    <s v="PISAHIN"/>
    <s v="FIFO"/>
    <m/>
    <m/>
    <n v="500"/>
    <x v="2"/>
    <s v="MIXING "/>
    <x v="2"/>
  </r>
  <r>
    <n v="127"/>
    <n v="36"/>
    <s v="B85"/>
    <x v="7"/>
    <x v="0"/>
    <s v="RESTACKING"/>
    <s v="FIFO"/>
    <m/>
    <m/>
    <n v="500"/>
    <x v="12"/>
    <s v="MIXING "/>
    <x v="8"/>
  </r>
  <r>
    <n v="128"/>
    <n v="21"/>
    <s v="B86"/>
    <x v="27"/>
    <x v="1"/>
    <s v="SCRAP"/>
    <s v="FIFO"/>
    <n v="634"/>
    <n v="113"/>
    <n v="521"/>
    <x v="8"/>
    <s v="MIXING"/>
    <x v="0"/>
  </r>
  <r>
    <n v="129"/>
    <n v="80"/>
    <s v="B9"/>
    <x v="3"/>
    <x v="0"/>
    <s v="PISAHIN"/>
    <s v="FIFO"/>
    <m/>
    <m/>
    <n v="265"/>
    <x v="2"/>
    <s v="MIXING"/>
    <x v="0"/>
  </r>
  <r>
    <n v="130"/>
    <n v="167"/>
    <s v="B9"/>
    <x v="1"/>
    <x v="1"/>
    <s v="SCRAP"/>
    <s v="FIFO"/>
    <m/>
    <m/>
    <n v="500"/>
    <x v="2"/>
    <s v="MIXING "/>
    <x v="0"/>
  </r>
  <r>
    <n v="131"/>
    <n v="2"/>
    <s v="BB1"/>
    <x v="14"/>
    <x v="1"/>
    <s v="SCRAP"/>
    <s v="FIFO"/>
    <m/>
    <m/>
    <n v="1103"/>
    <x v="12"/>
    <s v="MIXING"/>
    <x v="5"/>
  </r>
  <r>
    <n v="132"/>
    <n v="1"/>
    <s v="BB2"/>
    <x v="26"/>
    <x v="1"/>
    <s v="SCRAP"/>
    <s v="FIFO"/>
    <m/>
    <m/>
    <n v="541"/>
    <x v="2"/>
    <s v="MIXING"/>
    <x v="0"/>
  </r>
  <r>
    <n v="133"/>
    <n v="79"/>
    <s v="BE18"/>
    <x v="4"/>
    <x v="0"/>
    <s v="GILING DI EXT"/>
    <s v="AREA RACK DEPAN LAYDOWN"/>
    <m/>
    <m/>
    <n v="192"/>
    <x v="8"/>
    <s v="EXT"/>
    <x v="0"/>
  </r>
  <r>
    <n v="134"/>
    <n v="78"/>
    <s v="BF17"/>
    <x v="3"/>
    <x v="0"/>
    <s v="GILING DI EXT"/>
    <s v="AREA RACK DEPAN LAYDOWN"/>
    <m/>
    <m/>
    <n v="409"/>
    <x v="8"/>
    <s v="EXT"/>
    <x v="0"/>
  </r>
  <r>
    <n v="135"/>
    <n v="46"/>
    <s v="C1"/>
    <x v="3"/>
    <x v="0"/>
    <s v="SEGREGASI"/>
    <s v="FIFO"/>
    <m/>
    <m/>
    <n v="209"/>
    <x v="2"/>
    <s v="MIXING"/>
    <x v="0"/>
  </r>
  <r>
    <n v="136"/>
    <n v="36"/>
    <s v="C10"/>
    <x v="28"/>
    <x v="1"/>
    <s v="LUMPY"/>
    <s v="FIFO"/>
    <m/>
    <m/>
    <n v="596"/>
    <x v="6"/>
    <s v="EXT"/>
    <x v="0"/>
  </r>
  <r>
    <n v="137"/>
    <n v="72"/>
    <s v="C10"/>
    <x v="21"/>
    <x v="0"/>
    <s v="GILING DI EXT"/>
    <s v="FIFO"/>
    <m/>
    <m/>
    <n v="552"/>
    <x v="8"/>
    <s v="EXT"/>
    <x v="0"/>
  </r>
  <r>
    <n v="138"/>
    <n v="83"/>
    <s v="C107"/>
    <x v="6"/>
    <x v="0"/>
    <s v="GILING DI EXT"/>
    <s v="FIFO"/>
    <n v="569"/>
    <n v="66"/>
    <n v="503"/>
    <x v="2"/>
    <s v="MIXING"/>
    <x v="0"/>
  </r>
  <r>
    <n v="139"/>
    <n v="79"/>
    <s v="C108"/>
    <x v="6"/>
    <x v="0"/>
    <s v="SEGREGASI"/>
    <s v="FIFO"/>
    <n v="448"/>
    <n v="84"/>
    <n v="364"/>
    <x v="2"/>
    <s v="EXT"/>
    <x v="0"/>
  </r>
  <r>
    <n v="140"/>
    <n v="155"/>
    <s v="C11"/>
    <x v="1"/>
    <x v="1"/>
    <s v="SCRAP"/>
    <s v="FIFO"/>
    <m/>
    <m/>
    <n v="500"/>
    <x v="2"/>
    <s v="MIXING "/>
    <x v="0"/>
  </r>
  <r>
    <n v="141"/>
    <n v="98"/>
    <s v="C12"/>
    <x v="1"/>
    <x v="0"/>
    <s v="POTONG-POTONG"/>
    <s v="FIFO"/>
    <n v="388"/>
    <n v="104"/>
    <n v="284"/>
    <x v="2"/>
    <s v="MIXING"/>
    <x v="0"/>
  </r>
  <r>
    <n v="142"/>
    <n v="13"/>
    <s v="C13"/>
    <x v="2"/>
    <x v="0"/>
    <s v="SEGREGASI"/>
    <s v="FIFO"/>
    <n v="384"/>
    <n v="87"/>
    <n v="297"/>
    <x v="13"/>
    <s v="EXT"/>
    <x v="0"/>
  </r>
  <r>
    <n v="143"/>
    <n v="13"/>
    <s v="C14"/>
    <x v="1"/>
    <x v="0"/>
    <s v="RESTACKING"/>
    <s v="FIFO"/>
    <n v="459"/>
    <n v="84"/>
    <n v="375"/>
    <x v="2"/>
    <s v="EXT"/>
    <x v="0"/>
  </r>
  <r>
    <n v="144"/>
    <n v="174"/>
    <s v="C15"/>
    <x v="29"/>
    <x v="0"/>
    <s v="RESTACKING"/>
    <s v="FIFO"/>
    <n v="1087"/>
    <n v="104"/>
    <n v="983"/>
    <x v="7"/>
    <s v="MIXING"/>
    <x v="0"/>
  </r>
  <r>
    <n v="145"/>
    <n v="166"/>
    <s v="C16"/>
    <x v="30"/>
    <x v="0"/>
    <s v="CONGKEL"/>
    <s v="FIFO"/>
    <n v="615"/>
    <n v="125"/>
    <n v="490"/>
    <x v="2"/>
    <s v="MIXING"/>
    <x v="0"/>
  </r>
  <r>
    <n v="146"/>
    <n v="173"/>
    <s v="C17"/>
    <x v="1"/>
    <x v="0"/>
    <s v="CONGKEL"/>
    <s v="FIFO"/>
    <n v="1110"/>
    <n v="66"/>
    <n v="1044"/>
    <x v="2"/>
    <s v="MIXING"/>
    <x v="0"/>
  </r>
  <r>
    <n v="147"/>
    <n v="31"/>
    <s v="C18"/>
    <x v="31"/>
    <x v="0"/>
    <s v="SEGREGASI"/>
    <s v="FIFO"/>
    <n v="702"/>
    <n v="113"/>
    <n v="589"/>
    <x v="9"/>
    <s v="MIXING"/>
    <x v="5"/>
  </r>
  <r>
    <n v="148"/>
    <n v="34"/>
    <s v="C18"/>
    <x v="14"/>
    <x v="0"/>
    <s v="SCRAP"/>
    <s v="FIFO"/>
    <n v="861"/>
    <n v="113"/>
    <n v="748"/>
    <x v="8"/>
    <s v="MIXING"/>
    <x v="0"/>
  </r>
  <r>
    <n v="149"/>
    <n v="6"/>
    <s v="C19"/>
    <x v="3"/>
    <x v="0"/>
    <s v="OK"/>
    <s v="FIFO"/>
    <n v="695"/>
    <n v="113"/>
    <n v="582"/>
    <x v="11"/>
    <s v="MIXING"/>
    <x v="0"/>
  </r>
  <r>
    <n v="150"/>
    <n v="22"/>
    <s v="C20"/>
    <x v="17"/>
    <x v="1"/>
    <s v="SCRAP"/>
    <s v="FIFO"/>
    <n v="386"/>
    <n v="113"/>
    <n v="273"/>
    <x v="2"/>
    <s v="MIXING"/>
    <x v="0"/>
  </r>
  <r>
    <n v="151"/>
    <n v="22"/>
    <s v="C21"/>
    <x v="17"/>
    <x v="0"/>
    <s v="OK"/>
    <s v="FIFO"/>
    <n v="947"/>
    <n v="113"/>
    <n v="834"/>
    <x v="2"/>
    <s v="MIXING"/>
    <x v="0"/>
  </r>
  <r>
    <n v="152"/>
    <n v="36"/>
    <s v="C22"/>
    <x v="3"/>
    <x v="0"/>
    <s v="CONGKEL"/>
    <s v="FIFO"/>
    <n v="343"/>
    <n v="87"/>
    <n v="256"/>
    <x v="2"/>
    <s v="MIXING"/>
    <x v="0"/>
  </r>
  <r>
    <n v="153"/>
    <n v="137"/>
    <s v="C23"/>
    <x v="3"/>
    <x v="0"/>
    <s v="RESTACKING"/>
    <s v="FIFO"/>
    <m/>
    <m/>
    <n v="500"/>
    <x v="9"/>
    <s v="MIXING "/>
    <x v="0"/>
  </r>
  <r>
    <n v="154"/>
    <n v="53"/>
    <s v="C24"/>
    <x v="3"/>
    <x v="0"/>
    <s v="RESTACKING"/>
    <s v="FIFO"/>
    <n v="593"/>
    <n v="66"/>
    <n v="527"/>
    <x v="2"/>
    <s v="MIXING"/>
    <x v="0"/>
  </r>
  <r>
    <n v="155"/>
    <n v="29"/>
    <s v="C25"/>
    <x v="3"/>
    <x v="0"/>
    <s v="CONGKEL"/>
    <s v="FIFO"/>
    <n v="561"/>
    <n v="103"/>
    <n v="458"/>
    <x v="2"/>
    <s v="EXT"/>
    <x v="0"/>
  </r>
  <r>
    <n v="156"/>
    <n v="276"/>
    <s v="C27"/>
    <x v="4"/>
    <x v="0"/>
    <s v="CONGKEL"/>
    <s v="FIFO"/>
    <m/>
    <m/>
    <n v="477"/>
    <x v="2"/>
    <s v="MIXING"/>
    <x v="0"/>
  </r>
  <r>
    <n v="157"/>
    <n v="99"/>
    <s v="C28"/>
    <x v="8"/>
    <x v="0"/>
    <s v="CONGKEL"/>
    <s v="FIFO"/>
    <m/>
    <m/>
    <n v="301"/>
    <x v="2"/>
    <s v="EXT"/>
    <x v="0"/>
  </r>
  <r>
    <n v="158"/>
    <n v="19"/>
    <s v="C3"/>
    <x v="11"/>
    <x v="0"/>
    <s v="RESTACKING"/>
    <s v="FIFO"/>
    <n v="527"/>
    <n v="104"/>
    <n v="423"/>
    <x v="2"/>
    <s v="EXT"/>
    <x v="0"/>
  </r>
  <r>
    <n v="159"/>
    <n v="18"/>
    <s v="C30"/>
    <x v="3"/>
    <x v="0"/>
    <s v="RESTACKING"/>
    <s v="FIFO"/>
    <n v="656"/>
    <n v="113"/>
    <n v="543"/>
    <x v="2"/>
    <s v="EXT"/>
    <x v="0"/>
  </r>
  <r>
    <n v="160"/>
    <n v="23"/>
    <s v="C31"/>
    <x v="22"/>
    <x v="0"/>
    <s v="RESTACKING"/>
    <s v="FIFO"/>
    <n v="241"/>
    <n v="79"/>
    <n v="162"/>
    <x v="10"/>
    <s v="EXT"/>
    <x v="0"/>
  </r>
  <r>
    <n v="161"/>
    <n v="1"/>
    <s v="C31"/>
    <x v="3"/>
    <x v="0"/>
    <s v="PISAHIN"/>
    <s v="FIFO"/>
    <n v="915"/>
    <n v="125"/>
    <n v="790"/>
    <x v="8"/>
    <s v="MIXING"/>
    <x v="0"/>
  </r>
  <r>
    <n v="162"/>
    <n v="3"/>
    <s v="C32"/>
    <x v="21"/>
    <x v="0"/>
    <s v="GILING DI EXT"/>
    <s v="FIFO"/>
    <n v="426"/>
    <n v="66"/>
    <n v="360"/>
    <x v="2"/>
    <s v="EXT"/>
    <x v="0"/>
  </r>
  <r>
    <n v="163"/>
    <n v="86"/>
    <s v="C33"/>
    <x v="8"/>
    <x v="0"/>
    <s v="EXT"/>
    <s v="FIFO"/>
    <m/>
    <m/>
    <n v="500"/>
    <x v="7"/>
    <s v="EXT"/>
    <x v="0"/>
  </r>
  <r>
    <n v="164"/>
    <n v="110"/>
    <s v="C33"/>
    <x v="30"/>
    <x v="1"/>
    <s v="SCRAP"/>
    <s v="FIFO"/>
    <n v="370"/>
    <n v="85"/>
    <n v="285"/>
    <x v="2"/>
    <s v="MIXING"/>
    <x v="0"/>
  </r>
  <r>
    <n v="165"/>
    <n v="9"/>
    <s v="C34"/>
    <x v="8"/>
    <x v="1"/>
    <s v="SCRAP"/>
    <s v="FIFO"/>
    <n v="550"/>
    <n v="66"/>
    <n v="484"/>
    <x v="12"/>
    <s v="EXT"/>
    <x v="1"/>
  </r>
  <r>
    <n v="166"/>
    <n v="28"/>
    <s v="C35"/>
    <x v="7"/>
    <x v="1"/>
    <s v="SCRAP"/>
    <s v="FIFO"/>
    <n v="954"/>
    <n v="125"/>
    <n v="829"/>
    <x v="2"/>
    <s v="MIXING"/>
    <x v="0"/>
  </r>
  <r>
    <n v="167"/>
    <n v="5"/>
    <s v="C36"/>
    <x v="32"/>
    <x v="1"/>
    <s v="SCRAP"/>
    <s v="FIFO"/>
    <n v="699"/>
    <n v="125"/>
    <n v="574"/>
    <x v="9"/>
    <s v="MIXING"/>
    <x v="0"/>
  </r>
  <r>
    <n v="168"/>
    <n v="8"/>
    <s v="C37"/>
    <x v="17"/>
    <x v="1"/>
    <s v="SCRAP"/>
    <s v="FIFO"/>
    <n v="870"/>
    <n v="84"/>
    <n v="786"/>
    <x v="9"/>
    <s v="EXT"/>
    <x v="0"/>
  </r>
  <r>
    <n v="169"/>
    <n v="7"/>
    <s v="C38"/>
    <x v="22"/>
    <x v="1"/>
    <s v="SCRAP"/>
    <s v="FIFO"/>
    <n v="822"/>
    <n v="79"/>
    <n v="743"/>
    <x v="7"/>
    <s v="MIXING"/>
    <x v="0"/>
  </r>
  <r>
    <n v="170"/>
    <n v="17"/>
    <s v="C39"/>
    <x v="29"/>
    <x v="1"/>
    <s v="SCRAP"/>
    <s v="FIFO"/>
    <n v="617"/>
    <n v="104"/>
    <n v="513"/>
    <x v="2"/>
    <s v="EXT"/>
    <x v="0"/>
  </r>
  <r>
    <n v="171"/>
    <n v="20"/>
    <s v="C39"/>
    <x v="7"/>
    <x v="1"/>
    <s v="SCRAP"/>
    <s v="FIFO"/>
    <n v="554"/>
    <n v="66"/>
    <n v="488"/>
    <x v="3"/>
    <s v="MIXING"/>
    <x v="0"/>
  </r>
  <r>
    <n v="172"/>
    <n v="28"/>
    <s v="C4"/>
    <x v="3"/>
    <x v="1"/>
    <s v="SCRAP"/>
    <s v="FIFO"/>
    <n v="1223"/>
    <n v="125"/>
    <n v="1098"/>
    <x v="2"/>
    <s v="EXT"/>
    <x v="0"/>
  </r>
  <r>
    <n v="173"/>
    <n v="32"/>
    <s v="A57"/>
    <x v="26"/>
    <x v="1"/>
    <s v="SCRAP"/>
    <s v="FIFO"/>
    <n v="547"/>
    <n v="103"/>
    <n v="444"/>
    <x v="2"/>
    <s v="EXT"/>
    <x v="0"/>
  </r>
  <r>
    <n v="174"/>
    <n v="15"/>
    <s v="C5"/>
    <x v="4"/>
    <x v="1"/>
    <s v="SCRAP"/>
    <s v="FIFO"/>
    <n v="224"/>
    <n v="104"/>
    <n v="120"/>
    <x v="7"/>
    <s v="EXT"/>
    <x v="0"/>
  </r>
  <r>
    <n v="175"/>
    <n v="14"/>
    <s v="B56"/>
    <x v="24"/>
    <x v="1"/>
    <s v="REMILL"/>
    <s v="FIFO"/>
    <n v="484"/>
    <n v="125"/>
    <n v="359"/>
    <x v="2"/>
    <s v="MIXING"/>
    <x v="0"/>
  </r>
  <r>
    <n v="176"/>
    <n v="73"/>
    <s v="B57"/>
    <x v="8"/>
    <x v="1"/>
    <s v="SCRAP"/>
    <s v="FIFO"/>
    <n v="1039"/>
    <n v="100"/>
    <n v="939"/>
    <x v="2"/>
    <s v="MIXING"/>
    <x v="0"/>
  </r>
  <r>
    <n v="177"/>
    <n v="26"/>
    <s v="C52"/>
    <x v="14"/>
    <x v="1"/>
    <s v="SCRAP"/>
    <s v="FIFO"/>
    <n v="278"/>
    <n v="113"/>
    <n v="165"/>
    <x v="2"/>
    <s v="CALCUT"/>
    <x v="0"/>
  </r>
  <r>
    <n v="178"/>
    <n v="42"/>
    <s v="C53"/>
    <x v="14"/>
    <x v="1"/>
    <s v="SCRAP"/>
    <s v="FIFO"/>
    <n v="906"/>
    <n v="124"/>
    <n v="782"/>
    <x v="2"/>
    <s v="EXT"/>
    <x v="0"/>
  </r>
  <r>
    <n v="179"/>
    <n v="95"/>
    <s v="C54"/>
    <x v="21"/>
    <x v="1"/>
    <s v="SCRAP"/>
    <s v="FIFO"/>
    <n v="464"/>
    <n v="113"/>
    <n v="351"/>
    <x v="2"/>
    <s v="MIXING"/>
    <x v="0"/>
  </r>
  <r>
    <n v="180"/>
    <n v="177"/>
    <s v="C55"/>
    <x v="26"/>
    <x v="1"/>
    <s v="SCRAP"/>
    <s v="FIFO"/>
    <m/>
    <m/>
    <n v="559"/>
    <x v="2"/>
    <s v="CALCUT"/>
    <x v="0"/>
  </r>
  <r>
    <n v="181"/>
    <n v="172"/>
    <s v="C56"/>
    <x v="14"/>
    <x v="1"/>
    <s v="PISAHIN"/>
    <s v="FIFO"/>
    <n v="377"/>
    <n v="79"/>
    <n v="298"/>
    <x v="2"/>
    <s v="EXT"/>
    <x v="0"/>
  </r>
  <r>
    <n v="182"/>
    <n v="113"/>
    <s v="C57"/>
    <x v="30"/>
    <x v="1"/>
    <s v="ATAS PISAH BAWAH OK"/>
    <s v="FIFO"/>
    <n v="520"/>
    <n v="113"/>
    <n v="407"/>
    <x v="2"/>
    <s v="CALCUT"/>
    <x v="0"/>
  </r>
  <r>
    <n v="183"/>
    <n v="78"/>
    <s v="C6"/>
    <x v="1"/>
    <x v="1"/>
    <s v="SCRAP"/>
    <s v="FIFO"/>
    <n v="619"/>
    <n v="66"/>
    <n v="553"/>
    <x v="2"/>
    <s v="EXT"/>
    <x v="0"/>
  </r>
  <r>
    <n v="184"/>
    <n v="87"/>
    <s v="C6"/>
    <x v="1"/>
    <x v="1"/>
    <s v="SCRAP"/>
    <s v="FIFO"/>
    <m/>
    <m/>
    <n v="303"/>
    <x v="2"/>
    <s v="MIXING"/>
    <x v="0"/>
  </r>
  <r>
    <n v="185"/>
    <n v="179"/>
    <s v="C60"/>
    <x v="2"/>
    <x v="1"/>
    <s v="SCRAP"/>
    <s v="FIFO"/>
    <m/>
    <m/>
    <n v="540"/>
    <x v="2"/>
    <s v="MIXING"/>
    <x v="0"/>
  </r>
  <r>
    <n v="186"/>
    <n v="91"/>
    <s v="C61"/>
    <x v="0"/>
    <x v="0"/>
    <s v="REMILL"/>
    <s v="FIFO"/>
    <m/>
    <m/>
    <n v="870"/>
    <x v="2"/>
    <s v="MIXING"/>
    <x v="9"/>
  </r>
  <r>
    <n v="187"/>
    <n v="90"/>
    <s v="C62"/>
    <x v="25"/>
    <x v="0"/>
    <s v="REMILL"/>
    <s v="FIFO"/>
    <m/>
    <m/>
    <n v="729"/>
    <x v="2"/>
    <s v="MIXING"/>
    <x v="0"/>
  </r>
  <r>
    <n v="188"/>
    <n v="86"/>
    <s v="C63"/>
    <x v="2"/>
    <x v="0"/>
    <s v="SEGREGASI"/>
    <s v="FIFO"/>
    <m/>
    <m/>
    <n v="279"/>
    <x v="2"/>
    <s v="MIXING"/>
    <x v="0"/>
  </r>
  <r>
    <n v="189"/>
    <n v="74"/>
    <s v="C64"/>
    <x v="17"/>
    <x v="0"/>
    <s v="CONGKEL &amp; RESTACKING"/>
    <s v="FIFO"/>
    <m/>
    <m/>
    <n v="500"/>
    <x v="7"/>
    <s v="EXT"/>
    <x v="0"/>
  </r>
  <r>
    <n v="190"/>
    <n v="76"/>
    <s v="C65"/>
    <x v="33"/>
    <x v="0"/>
    <s v="CONGKEL &amp; RESTACKING"/>
    <s v="FIFO"/>
    <m/>
    <m/>
    <n v="500"/>
    <x v="2"/>
    <s v="EXT"/>
    <x v="0"/>
  </r>
  <r>
    <n v="191"/>
    <n v="77"/>
    <s v="C66"/>
    <x v="17"/>
    <x v="0"/>
    <s v="CONGKEL &amp; RESTACKING (EXT)"/>
    <s v="FIFO"/>
    <m/>
    <m/>
    <n v="500"/>
    <x v="2"/>
    <s v="EXT"/>
    <x v="0"/>
  </r>
  <r>
    <n v="192"/>
    <n v="215"/>
    <s v="C67"/>
    <x v="4"/>
    <x v="0"/>
    <s v="RESTACKING"/>
    <s v="FIFO"/>
    <m/>
    <m/>
    <n v="500"/>
    <x v="2"/>
    <s v="EXT"/>
    <x v="0"/>
  </r>
  <r>
    <n v="193"/>
    <n v="216"/>
    <s v="C68"/>
    <x v="4"/>
    <x v="0"/>
    <s v="RESTACKING"/>
    <s v="FIFO"/>
    <m/>
    <m/>
    <n v="500"/>
    <x v="2"/>
    <s v="EXT"/>
    <x v="0"/>
  </r>
  <r>
    <n v="194"/>
    <n v="217"/>
    <s v="C7"/>
    <x v="4"/>
    <x v="0"/>
    <s v="CONGKEL"/>
    <s v="FIFO"/>
    <m/>
    <m/>
    <n v="500"/>
    <x v="2"/>
    <s v="MIXING "/>
    <x v="0"/>
  </r>
  <r>
    <n v="195"/>
    <n v="58"/>
    <s v="C8"/>
    <x v="3"/>
    <x v="0"/>
    <s v="SEBAGAI OS T16R5"/>
    <s v="FIFO"/>
    <m/>
    <m/>
    <n v="500"/>
    <x v="7"/>
    <s v="MIXING "/>
    <x v="0"/>
  </r>
  <r>
    <n v="196"/>
    <n v="203"/>
    <s v="C9"/>
    <x v="3"/>
    <x v="0"/>
    <s v="RESTACKING"/>
    <s v="FIFO"/>
    <m/>
    <m/>
    <n v="320"/>
    <x v="2"/>
    <s v="MIXING"/>
    <x v="2"/>
  </r>
  <r>
    <n v="197"/>
    <n v="202"/>
    <s v="C9"/>
    <x v="3"/>
    <x v="0"/>
    <s v="CONGKEL"/>
    <s v="FIFO"/>
    <m/>
    <m/>
    <n v="357"/>
    <x v="7"/>
    <s v="EXT"/>
    <x v="0"/>
  </r>
  <r>
    <n v="198"/>
    <n v="250"/>
    <s v="C94"/>
    <x v="17"/>
    <x v="0"/>
    <s v="PISAHIN"/>
    <s v="FIFO"/>
    <m/>
    <m/>
    <n v="500"/>
    <x v="8"/>
    <s v="MIXING"/>
    <x v="0"/>
  </r>
  <r>
    <n v="199"/>
    <n v="100"/>
    <s v="C95"/>
    <x v="7"/>
    <x v="0"/>
    <s v="RESTACKING"/>
    <s v="FIFO"/>
    <m/>
    <m/>
    <n v="500"/>
    <x v="8"/>
    <s v="MIXING"/>
    <x v="0"/>
  </r>
  <r>
    <n v="200"/>
    <n v="17"/>
    <s v="C96"/>
    <x v="7"/>
    <x v="0"/>
    <s v="CONGKEL "/>
    <s v="FIFO"/>
    <m/>
    <m/>
    <n v="500"/>
    <x v="0"/>
    <s v="MIXING"/>
    <x v="10"/>
  </r>
  <r>
    <n v="201"/>
    <n v="162"/>
    <s v="LANTAI"/>
    <x v="7"/>
    <x v="0"/>
    <s v="PISAHIN"/>
    <s v="DEPAN LAYDOWN BB2"/>
    <m/>
    <m/>
    <n v="500"/>
    <x v="3"/>
    <s v="MIXING"/>
    <x v="0"/>
  </r>
  <r>
    <n v="202"/>
    <n v="33"/>
    <s v="LANTAI"/>
    <x v="14"/>
    <x v="0"/>
    <s v="RESTACKING"/>
    <s v="DEPAN LAYDOWN BB2"/>
    <m/>
    <m/>
    <n v="500"/>
    <x v="3"/>
    <s v="MIXING"/>
    <x v="0"/>
  </r>
  <r>
    <n v="203"/>
    <n v="57"/>
    <s v="LANTAI"/>
    <x v="8"/>
    <x v="1"/>
    <s v="SCRAP"/>
    <s v="DEPAN LAYDOWN BB2"/>
    <m/>
    <m/>
    <n v="500"/>
    <x v="3"/>
    <s v="MIXING"/>
    <x v="0"/>
  </r>
  <r>
    <n v="204"/>
    <n v="39"/>
    <s v="OTR"/>
    <x v="20"/>
    <x v="0"/>
    <s v="RESTACKING"/>
    <s v="AREA WT RELEASE"/>
    <m/>
    <m/>
    <n v="500"/>
    <x v="0"/>
    <s v="MIXING"/>
    <x v="0"/>
  </r>
  <r>
    <n v="205"/>
    <n v="30"/>
    <s v="LANTAI"/>
    <x v="9"/>
    <x v="0"/>
    <s v="RESTACKING"/>
    <s v="SAMPING LAYDOWN BB2"/>
    <m/>
    <m/>
    <n v="500"/>
    <x v="7"/>
    <s v="MIXING"/>
    <x v="0"/>
  </r>
  <r>
    <n v="206"/>
    <n v="202"/>
    <s v="LANTAI"/>
    <x v="34"/>
    <x v="0"/>
    <s v="CONGKEL"/>
    <s v="SAMPING LAYDOWN BB2"/>
    <m/>
    <m/>
    <n v="357"/>
    <x v="7"/>
    <s v="EXT"/>
    <x v="5"/>
  </r>
  <r>
    <n v="207"/>
    <n v="250"/>
    <s v="LANTAI"/>
    <x v="8"/>
    <x v="0"/>
    <s v="PISAHIN"/>
    <s v="DEPAN LAYDOWN BB2"/>
    <m/>
    <m/>
    <n v="500"/>
    <x v="9"/>
    <s v="MIXING"/>
    <x v="0"/>
  </r>
  <r>
    <n v="208"/>
    <n v="100"/>
    <s v="LANTAI"/>
    <x v="35"/>
    <x v="0"/>
    <s v="RESTACKING"/>
    <s v="DEPAN LAYDOWN BB2"/>
    <m/>
    <m/>
    <n v="500"/>
    <x v="9"/>
    <s v="MIXING"/>
    <x v="0"/>
  </r>
  <r>
    <n v="209"/>
    <n v="17"/>
    <s v="LANTAI"/>
    <x v="17"/>
    <x v="0"/>
    <s v="CONGKEL "/>
    <s v="DEPAN LAYDOWN BB2"/>
    <m/>
    <m/>
    <n v="500"/>
    <x v="9"/>
    <s v="MIXING"/>
    <x v="0"/>
  </r>
  <r>
    <n v="210"/>
    <n v="162"/>
    <s v="LANTAI"/>
    <x v="8"/>
    <x v="0"/>
    <s v="PISAHIN"/>
    <s v="DEPAN LAYDOWN BB2"/>
    <m/>
    <m/>
    <n v="500"/>
    <x v="9"/>
    <s v="MIXING"/>
    <x v="11"/>
  </r>
  <r>
    <n v="211"/>
    <n v="33"/>
    <s v="LANTAI"/>
    <x v="36"/>
    <x v="0"/>
    <s v="RESTACKING"/>
    <s v="DEPAN LAYDOWN BB2"/>
    <m/>
    <m/>
    <n v="500"/>
    <x v="9"/>
    <s v="MIXING"/>
    <x v="0"/>
  </r>
  <r>
    <n v="212"/>
    <n v="57"/>
    <s v="LANTAI"/>
    <x v="26"/>
    <x v="1"/>
    <s v="SCRAP"/>
    <s v="DEPAN LAYDOWN BB2"/>
    <m/>
    <m/>
    <n v="500"/>
    <x v="11"/>
    <s v="MIXING"/>
    <x v="0"/>
  </r>
  <r>
    <n v="213"/>
    <n v="39"/>
    <s v="LANTAI"/>
    <x v="14"/>
    <x v="0"/>
    <s v="RESTACKING"/>
    <s v="DEPAN LAYDOWN BB2"/>
    <m/>
    <m/>
    <n v="500"/>
    <x v="11"/>
    <s v="MIXING"/>
    <x v="5"/>
  </r>
  <r>
    <n v="214"/>
    <n v="30"/>
    <s v="LANTAI"/>
    <x v="7"/>
    <x v="0"/>
    <s v="RESTACKING"/>
    <s v="DEPAN LAYDOWN BB2"/>
    <m/>
    <m/>
    <n v="500"/>
    <x v="11"/>
    <s v="MIXING"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  <r>
    <m/>
    <m/>
    <m/>
    <x v="37"/>
    <x v="2"/>
    <m/>
    <m/>
    <m/>
    <m/>
    <m/>
    <x v="2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1"/>
    <n v="130"/>
    <n v="130"/>
    <x v="0"/>
    <x v="0"/>
    <s v="RESTACKING"/>
    <s v="FIFO"/>
    <m/>
    <m/>
    <n v="500"/>
    <x v="0"/>
    <s v="EXT"/>
    <m/>
    <n v="1"/>
  </r>
  <r>
    <n v="2"/>
    <n v="191"/>
    <n v="164"/>
    <x v="1"/>
    <x v="1"/>
    <s v="SCRAP"/>
    <s v="FIFO"/>
    <m/>
    <m/>
    <n v="835"/>
    <x v="1"/>
    <s v="MIXING"/>
    <m/>
    <n v="1"/>
  </r>
  <r>
    <n v="3"/>
    <n v="198"/>
    <n v="165"/>
    <x v="2"/>
    <x v="1"/>
    <s v="SCRAP"/>
    <s v="FIFO"/>
    <m/>
    <m/>
    <n v="235"/>
    <x v="1"/>
    <s v="MIXING"/>
    <m/>
    <n v="1"/>
  </r>
  <r>
    <n v="4"/>
    <n v="79"/>
    <s v="4ROLL"/>
    <x v="2"/>
    <x v="0"/>
    <s v="ODS"/>
    <s v="FIFO"/>
    <m/>
    <m/>
    <n v="732"/>
    <x v="1"/>
    <s v="CALCUT"/>
    <s v="gagal SCRAP"/>
    <n v="1"/>
  </r>
  <r>
    <n v="5"/>
    <n v="180"/>
    <s v="4ROLL"/>
    <x v="2"/>
    <x v="0"/>
    <s v="GILING DI 4ROLL"/>
    <s v="FIFO"/>
    <m/>
    <m/>
    <n v="647"/>
    <x v="1"/>
    <s v="CALCUT"/>
    <s v="gagal SCRAP"/>
    <n v="1"/>
  </r>
  <r>
    <n v="6"/>
    <n v="13"/>
    <s v="A1"/>
    <x v="3"/>
    <x v="1"/>
    <s v="SCRAP"/>
    <s v="FIFO"/>
    <n v="1067"/>
    <n v="125"/>
    <n v="942"/>
    <x v="2"/>
    <s v="MIXING"/>
    <m/>
    <n v="1"/>
  </r>
  <r>
    <n v="7"/>
    <n v="81"/>
    <s v="A10"/>
    <x v="4"/>
    <x v="0"/>
    <s v="REMILL"/>
    <s v="FIFO"/>
    <m/>
    <m/>
    <n v="285"/>
    <x v="2"/>
    <s v="MIXING"/>
    <m/>
    <n v="1"/>
  </r>
  <r>
    <n v="8"/>
    <n v="10"/>
    <s v="A104"/>
    <x v="5"/>
    <x v="1"/>
    <s v="SCRAP"/>
    <s v="FIFO"/>
    <m/>
    <m/>
    <n v="848"/>
    <x v="2"/>
    <s v="MIXING"/>
    <m/>
    <n v="1"/>
  </r>
  <r>
    <n v="9"/>
    <n v="8"/>
    <s v="A105"/>
    <x v="5"/>
    <x v="1"/>
    <s v="SCRAP"/>
    <s v="FIFO"/>
    <m/>
    <m/>
    <n v="1132"/>
    <x v="2"/>
    <s v="MIXING"/>
    <m/>
    <n v="1"/>
  </r>
  <r>
    <n v="10"/>
    <n v="6"/>
    <s v="A107"/>
    <x v="6"/>
    <x v="1"/>
    <s v="SCRAP"/>
    <s v="FIFO"/>
    <m/>
    <m/>
    <n v="666"/>
    <x v="2"/>
    <s v="MIXING"/>
    <m/>
    <n v="1"/>
  </r>
  <r>
    <n v="11"/>
    <n v="4"/>
    <s v="A108"/>
    <x v="6"/>
    <x v="1"/>
    <s v="SCRAP"/>
    <s v="FIFO"/>
    <m/>
    <m/>
    <n v="943"/>
    <x v="2"/>
    <s v="MIXING"/>
    <m/>
    <n v="1"/>
  </r>
  <r>
    <n v="12"/>
    <n v="82"/>
    <s v="A11"/>
    <x v="2"/>
    <x v="0"/>
    <s v="GILING DI 4ROLL"/>
    <s v="FIFO"/>
    <m/>
    <m/>
    <n v="460"/>
    <x v="3"/>
    <s v="CALCUT"/>
    <s v="gagal SCRAP"/>
    <n v="1"/>
  </r>
  <r>
    <n v="13"/>
    <n v="87"/>
    <s v="A13"/>
    <x v="4"/>
    <x v="0"/>
    <s v="CONGKEL"/>
    <s v="FIFO"/>
    <m/>
    <m/>
    <n v="366"/>
    <x v="2"/>
    <s v="MIXING"/>
    <m/>
    <n v="1"/>
  </r>
  <r>
    <n v="14"/>
    <n v="71"/>
    <s v="A14"/>
    <x v="7"/>
    <x v="0"/>
    <s v="GILING DI EXT"/>
    <s v="FIFO"/>
    <m/>
    <m/>
    <n v="288"/>
    <x v="2"/>
    <s v="EXT"/>
    <m/>
    <n v="1"/>
  </r>
  <r>
    <n v="15"/>
    <n v="61"/>
    <s v="A15"/>
    <x v="8"/>
    <x v="0"/>
    <s v="SELEKSI"/>
    <s v="FIFO"/>
    <m/>
    <m/>
    <n v="347"/>
    <x v="2"/>
    <s v="MIXING"/>
    <m/>
    <n v="1"/>
  </r>
  <r>
    <n v="16"/>
    <n v="154"/>
    <s v="B3"/>
    <x v="4"/>
    <x v="1"/>
    <s v="REMILL"/>
    <s v="FIFO"/>
    <m/>
    <m/>
    <n v="773"/>
    <x v="2"/>
    <s v="MIXING"/>
    <m/>
    <n v="1"/>
  </r>
  <r>
    <n v="17"/>
    <n v="275"/>
    <s v="A17"/>
    <x v="9"/>
    <x v="0"/>
    <s v="GILING DI EXT"/>
    <s v="FIFO"/>
    <m/>
    <m/>
    <n v="574"/>
    <x v="2"/>
    <s v="MIXING"/>
    <m/>
    <n v="1"/>
  </r>
  <r>
    <n v="18"/>
    <n v="274"/>
    <s v="A18"/>
    <x v="7"/>
    <x v="0"/>
    <s v="CONGKEL"/>
    <s v="FIFO"/>
    <m/>
    <m/>
    <n v="783"/>
    <x v="2"/>
    <s v="MIXING"/>
    <m/>
    <n v="1"/>
  </r>
  <r>
    <n v="19"/>
    <n v="82"/>
    <s v="A19"/>
    <x v="1"/>
    <x v="0"/>
    <s v="GILING DI EXT"/>
    <s v="FIFO"/>
    <m/>
    <m/>
    <n v="277"/>
    <x v="2"/>
    <s v="EXT"/>
    <m/>
    <n v="1"/>
  </r>
  <r>
    <n v="20"/>
    <n v="26"/>
    <s v="A2"/>
    <x v="3"/>
    <x v="1"/>
    <s v="SCRAP"/>
    <s v="FIFO"/>
    <n v="1095"/>
    <n v="125"/>
    <n v="970"/>
    <x v="2"/>
    <s v="MIXING"/>
    <m/>
    <n v="1"/>
  </r>
  <r>
    <n v="21"/>
    <n v="272"/>
    <s v="A20"/>
    <x v="7"/>
    <x v="0"/>
    <s v="GILING DI EXT"/>
    <s v="FIFO"/>
    <m/>
    <m/>
    <n v="343"/>
    <x v="2"/>
    <s v="EXT"/>
    <m/>
    <n v="1"/>
  </r>
  <r>
    <n v="22"/>
    <n v="271"/>
    <s v="A21"/>
    <x v="10"/>
    <x v="0"/>
    <s v="CONGKEL"/>
    <s v="FIFO"/>
    <m/>
    <m/>
    <n v="562"/>
    <x v="4"/>
    <s v="MIXING"/>
    <m/>
    <n v="1"/>
  </r>
  <r>
    <n v="23"/>
    <n v="18"/>
    <s v="A22"/>
    <x v="3"/>
    <x v="0"/>
    <s v="SEGREGASI"/>
    <s v="FIFO"/>
    <m/>
    <m/>
    <n v="274"/>
    <x v="2"/>
    <s v="MIXING"/>
    <m/>
    <n v="1"/>
  </r>
  <r>
    <n v="24"/>
    <n v="14"/>
    <s v="A23"/>
    <x v="3"/>
    <x v="1"/>
    <s v="SCRAP"/>
    <s v="FIFO"/>
    <m/>
    <m/>
    <n v="583"/>
    <x v="5"/>
    <s v="MIXING"/>
    <m/>
    <n v="1"/>
  </r>
  <r>
    <n v="25"/>
    <n v="270"/>
    <s v="A23"/>
    <x v="11"/>
    <x v="0"/>
    <s v="CONGKEL"/>
    <s v="FIFO"/>
    <m/>
    <m/>
    <n v="353"/>
    <x v="6"/>
    <s v="MIXING"/>
    <m/>
    <n v="1"/>
  </r>
  <r>
    <n v="26"/>
    <n v="9"/>
    <s v="A25"/>
    <x v="4"/>
    <x v="1"/>
    <s v="SCRAP"/>
    <s v="FIFO"/>
    <m/>
    <m/>
    <n v="498"/>
    <x v="2"/>
    <s v="MIXING"/>
    <m/>
    <n v="1"/>
  </r>
  <r>
    <n v="27"/>
    <n v="40"/>
    <s v="A26"/>
    <x v="4"/>
    <x v="0"/>
    <s v="CONGKEL"/>
    <s v="FIFO"/>
    <m/>
    <m/>
    <n v="758"/>
    <x v="2"/>
    <s v="MIXING"/>
    <m/>
    <m/>
  </r>
  <r>
    <n v="28"/>
    <n v="11"/>
    <s v="A50"/>
    <x v="3"/>
    <x v="1"/>
    <s v="SCRAP"/>
    <s v="FIFO"/>
    <m/>
    <m/>
    <n v="257"/>
    <x v="7"/>
    <s v="MIXING"/>
    <m/>
    <n v="1"/>
  </r>
  <r>
    <n v="29"/>
    <n v="114"/>
    <s v="A26"/>
    <x v="12"/>
    <x v="0"/>
    <s v="POTONG-POTONG"/>
    <s v="FIFO"/>
    <m/>
    <m/>
    <n v="500"/>
    <x v="0"/>
    <s v="MIXING "/>
    <m/>
    <n v="1"/>
  </r>
  <r>
    <n v="30"/>
    <n v="161"/>
    <s v="A27"/>
    <x v="3"/>
    <x v="0"/>
    <s v="RESTACKING"/>
    <s v="FIFO"/>
    <m/>
    <m/>
    <n v="810"/>
    <x v="2"/>
    <s v="MIXING"/>
    <m/>
    <n v="1"/>
  </r>
  <r>
    <n v="31"/>
    <n v="69"/>
    <s v="A28"/>
    <x v="3"/>
    <x v="0"/>
    <s v="RESTACKING"/>
    <s v="FIFO"/>
    <m/>
    <m/>
    <n v="291"/>
    <x v="6"/>
    <s v="MIXING"/>
    <m/>
    <n v="1"/>
  </r>
  <r>
    <n v="32"/>
    <n v="280"/>
    <s v="A29"/>
    <x v="13"/>
    <x v="0"/>
    <s v="CONGKEL"/>
    <s v="FIFO"/>
    <m/>
    <m/>
    <n v="350"/>
    <x v="2"/>
    <s v="MIXING"/>
    <m/>
    <n v="1"/>
  </r>
  <r>
    <n v="33"/>
    <n v="24"/>
    <s v="A3"/>
    <x v="3"/>
    <x v="1"/>
    <s v="SCRAP"/>
    <s v="FIFO"/>
    <n v="517"/>
    <n v="103"/>
    <n v="414"/>
    <x v="2"/>
    <s v="MIXING"/>
    <m/>
    <n v="1"/>
  </r>
  <r>
    <n v="34"/>
    <n v="49"/>
    <s v="A30"/>
    <x v="8"/>
    <x v="0"/>
    <s v="GILING DI EXT"/>
    <s v="FIFO"/>
    <m/>
    <m/>
    <n v="320"/>
    <x v="2"/>
    <s v="EXT"/>
    <m/>
    <n v="1"/>
  </r>
  <r>
    <n v="35"/>
    <n v="279"/>
    <s v="A31"/>
    <x v="14"/>
    <x v="0"/>
    <s v="RESTACKING"/>
    <s v="FIFO"/>
    <m/>
    <m/>
    <n v="298"/>
    <x v="2"/>
    <s v="MIXING"/>
    <m/>
    <n v="1"/>
  </r>
  <r>
    <n v="36"/>
    <n v="278"/>
    <s v="A32"/>
    <x v="4"/>
    <x v="0"/>
    <s v="RESTACKING"/>
    <s v="FIFO"/>
    <m/>
    <m/>
    <n v="434"/>
    <x v="2"/>
    <s v="MIXING"/>
    <m/>
    <n v="1"/>
  </r>
  <r>
    <n v="37"/>
    <n v="277"/>
    <s v="A33"/>
    <x v="14"/>
    <x v="0"/>
    <s v="RESTACKING"/>
    <s v="FIFO"/>
    <m/>
    <m/>
    <n v="235"/>
    <x v="2"/>
    <s v="MIXING"/>
    <m/>
    <n v="1"/>
  </r>
  <r>
    <n v="38"/>
    <n v="201"/>
    <s v="A38"/>
    <x v="8"/>
    <x v="1"/>
    <s v="SCRAP"/>
    <s v="FIFO"/>
    <m/>
    <m/>
    <n v="574"/>
    <x v="1"/>
    <s v="EXT"/>
    <m/>
    <n v="1"/>
  </r>
  <r>
    <n v="39"/>
    <n v="36"/>
    <s v="A4"/>
    <x v="3"/>
    <x v="1"/>
    <s v="LUMPY"/>
    <s v="FIFO"/>
    <m/>
    <m/>
    <n v="441"/>
    <x v="2"/>
    <s v="MIXING"/>
    <m/>
    <n v="1"/>
  </r>
  <r>
    <n v="40"/>
    <n v="47"/>
    <s v="A52"/>
    <x v="14"/>
    <x v="1"/>
    <s v="SCRAP"/>
    <s v="FIFO"/>
    <m/>
    <m/>
    <n v="375"/>
    <x v="2"/>
    <s v="MIXING"/>
    <m/>
    <n v="1"/>
  </r>
  <r>
    <n v="41"/>
    <n v="27"/>
    <s v="A5"/>
    <x v="3"/>
    <x v="1"/>
    <s v="RESTACKING"/>
    <s v="FIFO"/>
    <m/>
    <m/>
    <n v="290"/>
    <x v="2"/>
    <s v="MIXING"/>
    <m/>
    <n v="1"/>
  </r>
  <r>
    <n v="42"/>
    <n v="225"/>
    <s v="A53"/>
    <x v="15"/>
    <x v="1"/>
    <s v="LUMPY PARAH"/>
    <s v="FIFO"/>
    <m/>
    <m/>
    <n v="469"/>
    <x v="2"/>
    <s v="MIXING"/>
    <m/>
    <n v="1"/>
  </r>
  <r>
    <n v="43"/>
    <n v="137"/>
    <s v="B4"/>
    <x v="4"/>
    <x v="1"/>
    <s v="SCRAP"/>
    <s v="FIFO"/>
    <m/>
    <m/>
    <n v="741"/>
    <x v="2"/>
    <s v="MIXING"/>
    <m/>
    <n v="1"/>
  </r>
  <r>
    <n v="44"/>
    <n v="134"/>
    <s v="A59"/>
    <x v="16"/>
    <x v="1"/>
    <s v="SCRAP"/>
    <s v="FIFO"/>
    <m/>
    <m/>
    <n v="399"/>
    <x v="2"/>
    <s v="MIXING"/>
    <m/>
    <n v="1"/>
  </r>
  <r>
    <n v="45"/>
    <n v="2"/>
    <s v="A6"/>
    <x v="3"/>
    <x v="1"/>
    <s v="SCRAP"/>
    <s v="FIFO"/>
    <m/>
    <m/>
    <n v="681"/>
    <x v="2"/>
    <s v="MIXING"/>
    <m/>
    <n v="1"/>
  </r>
  <r>
    <n v="46"/>
    <n v="69"/>
    <s v="A60"/>
    <x v="17"/>
    <x v="1"/>
    <s v="SCRAP"/>
    <s v="FIFO"/>
    <m/>
    <m/>
    <n v="373"/>
    <x v="2"/>
    <s v="MIXING"/>
    <m/>
    <n v="1"/>
  </r>
  <r>
    <n v="47"/>
    <n v="141"/>
    <s v="A61"/>
    <x v="1"/>
    <x v="1"/>
    <s v="SCRAP"/>
    <s v="FIFO"/>
    <m/>
    <m/>
    <n v="473"/>
    <x v="2"/>
    <s v="MIXING"/>
    <m/>
    <n v="1"/>
  </r>
  <r>
    <n v="48"/>
    <n v="143"/>
    <s v="A62"/>
    <x v="1"/>
    <x v="1"/>
    <s v="SCRAP"/>
    <s v="FIFO"/>
    <m/>
    <m/>
    <n v="746"/>
    <x v="2"/>
    <s v="MIXING"/>
    <m/>
    <n v="1"/>
  </r>
  <r>
    <n v="49"/>
    <n v="137"/>
    <s v="B49"/>
    <x v="4"/>
    <x v="1"/>
    <s v="SCRAP"/>
    <s v="FIFO"/>
    <m/>
    <m/>
    <n v="741"/>
    <x v="2"/>
    <s v="MIXING"/>
    <m/>
    <n v="1"/>
  </r>
  <r>
    <n v="50"/>
    <n v="29"/>
    <s v="B50"/>
    <x v="4"/>
    <x v="1"/>
    <s v="SCRAP"/>
    <s v="FIFO"/>
    <m/>
    <m/>
    <n v="136"/>
    <x v="2"/>
    <s v="MIXING"/>
    <m/>
    <n v="1"/>
  </r>
  <r>
    <n v="51"/>
    <n v="88"/>
    <s v="A67"/>
    <x v="18"/>
    <x v="1"/>
    <s v="SCRAP"/>
    <s v="FIFO"/>
    <m/>
    <m/>
    <n v="550"/>
    <x v="2"/>
    <s v="MIXING"/>
    <m/>
    <n v="1"/>
  </r>
  <r>
    <n v="52"/>
    <n v="89"/>
    <s v="A68"/>
    <x v="19"/>
    <x v="1"/>
    <s v="SCRAP"/>
    <s v="FIFO"/>
    <m/>
    <m/>
    <n v="273"/>
    <x v="2"/>
    <s v="MIXING"/>
    <m/>
    <n v="1"/>
  </r>
  <r>
    <n v="53"/>
    <n v="134"/>
    <s v="A8"/>
    <x v="3"/>
    <x v="0"/>
    <s v="RESTACKING"/>
    <s v="FIFO"/>
    <m/>
    <m/>
    <n v="500"/>
    <x v="2"/>
    <s v="CALCUT"/>
    <s v="DARI DPN TANL PROMOLIK"/>
    <n v="1"/>
  </r>
  <r>
    <n v="54"/>
    <n v="65"/>
    <s v="A8"/>
    <x v="15"/>
    <x v="0"/>
    <s v="OK T16R5"/>
    <s v="FIFO"/>
    <m/>
    <m/>
    <n v="500"/>
    <x v="0"/>
    <s v="MIXING "/>
    <m/>
    <n v="1"/>
  </r>
  <r>
    <n v="55"/>
    <n v="27"/>
    <s v="A9"/>
    <x v="3"/>
    <x v="1"/>
    <s v="SCRAP"/>
    <s v="FIFO"/>
    <n v="959"/>
    <n v="125"/>
    <n v="834"/>
    <x v="2"/>
    <s v="MIXING"/>
    <s v="DARI DPN TANL PROMOLIK"/>
    <n v="1"/>
  </r>
  <r>
    <n v="56"/>
    <n v="62"/>
    <s v="A91"/>
    <x v="20"/>
    <x v="1"/>
    <s v="SCRAP"/>
    <s v="FIFO"/>
    <m/>
    <m/>
    <n v="543"/>
    <x v="0"/>
    <s v="MIXING"/>
    <m/>
    <n v="1"/>
  </r>
  <r>
    <n v="57"/>
    <n v="9"/>
    <s v="B1"/>
    <x v="3"/>
    <x v="1"/>
    <s v="SCRAP"/>
    <s v="FIFO"/>
    <m/>
    <m/>
    <n v="1039"/>
    <x v="2"/>
    <s v="MIXING"/>
    <m/>
    <n v="1"/>
  </r>
  <r>
    <n v="58"/>
    <n v="7"/>
    <s v="B10"/>
    <x v="5"/>
    <x v="1"/>
    <s v="SCRAP"/>
    <s v="FIFO"/>
    <m/>
    <m/>
    <n v="553"/>
    <x v="2"/>
    <s v="MIXING"/>
    <m/>
    <n v="1"/>
  </r>
  <r>
    <n v="59"/>
    <n v="5"/>
    <s v="B104"/>
    <x v="5"/>
    <x v="1"/>
    <s v="SCRAP"/>
    <s v="FIFO"/>
    <m/>
    <m/>
    <n v="532"/>
    <x v="2"/>
    <s v="MIXING"/>
    <m/>
    <n v="1"/>
  </r>
  <r>
    <n v="60"/>
    <n v="3"/>
    <s v="B105"/>
    <x v="6"/>
    <x v="1"/>
    <s v="SCRAP"/>
    <s v="FIFO"/>
    <m/>
    <m/>
    <n v="1116"/>
    <x v="2"/>
    <s v="MIXING"/>
    <m/>
    <n v="1"/>
  </r>
  <r>
    <n v="61"/>
    <n v="82"/>
    <s v="A7"/>
    <x v="3"/>
    <x v="0"/>
    <s v="GILING DI EXT"/>
    <s v="FIFO"/>
    <m/>
    <m/>
    <n v="533"/>
    <x v="2"/>
    <s v="EXT"/>
    <m/>
    <n v="1"/>
  </r>
  <r>
    <n v="62"/>
    <n v="79"/>
    <s v="B107"/>
    <x v="6"/>
    <x v="0"/>
    <s v="EXT"/>
    <s v="FIFO"/>
    <m/>
    <m/>
    <n v="500"/>
    <x v="2"/>
    <s v="EXT"/>
    <m/>
    <n v="1"/>
  </r>
  <r>
    <n v="63"/>
    <n v="83"/>
    <s v="B108"/>
    <x v="6"/>
    <x v="1"/>
    <s v="SCRAP"/>
    <s v="FIFO"/>
    <m/>
    <m/>
    <n v="500"/>
    <x v="2"/>
    <s v="EXT"/>
    <m/>
    <n v="1"/>
  </r>
  <r>
    <n v="64"/>
    <n v="45"/>
    <s v="B11"/>
    <x v="1"/>
    <x v="0"/>
    <s v="GILING DI EXT"/>
    <s v="FIFO"/>
    <m/>
    <m/>
    <n v="145"/>
    <x v="2"/>
    <s v="EXT"/>
    <m/>
    <n v="1"/>
  </r>
  <r>
    <n v="65"/>
    <n v="178"/>
    <s v="B119"/>
    <x v="17"/>
    <x v="0"/>
    <s v="SEGREGASI"/>
    <s v="FIFO"/>
    <m/>
    <m/>
    <n v="651"/>
    <x v="0"/>
    <s v="MIXING"/>
    <s v="OK, HABIS"/>
    <n v="1"/>
  </r>
  <r>
    <n v="66"/>
    <n v="158"/>
    <s v="B119"/>
    <x v="17"/>
    <x v="1"/>
    <s v="SCRAP"/>
    <s v="FIFO"/>
    <m/>
    <m/>
    <n v="390"/>
    <x v="3"/>
    <s v="MIXING"/>
    <m/>
    <n v="1"/>
  </r>
  <r>
    <n v="67"/>
    <n v="6"/>
    <s v="B12"/>
    <x v="1"/>
    <x v="0"/>
    <s v="SEGREGASI"/>
    <s v="FIFO"/>
    <m/>
    <m/>
    <n v="195"/>
    <x v="2"/>
    <s v="MIXING"/>
    <m/>
    <n v="1"/>
  </r>
  <r>
    <n v="68"/>
    <n v="160"/>
    <s v="B13"/>
    <x v="4"/>
    <x v="1"/>
    <s v="SCRAP"/>
    <s v="FIFO"/>
    <m/>
    <m/>
    <n v="500"/>
    <x v="2"/>
    <s v="MIXING "/>
    <m/>
    <n v="1"/>
  </r>
  <r>
    <n v="69"/>
    <n v="81"/>
    <s v="B14"/>
    <x v="2"/>
    <x v="0"/>
    <s v="RESTACKING"/>
    <s v="FIFO"/>
    <m/>
    <m/>
    <n v="328"/>
    <x v="2"/>
    <s v="EXT"/>
    <m/>
    <n v="1"/>
  </r>
  <r>
    <n v="70"/>
    <n v="16"/>
    <s v="B15"/>
    <x v="4"/>
    <x v="0"/>
    <s v="OK"/>
    <s v="FIFO"/>
    <n v="297"/>
    <n v="66"/>
    <n v="231"/>
    <x v="2"/>
    <s v="MIXING"/>
    <m/>
    <n v="1"/>
  </r>
  <r>
    <n v="71"/>
    <n v="19"/>
    <s v="B15"/>
    <x v="21"/>
    <x v="0"/>
    <s v="CONGKEL"/>
    <s v="FIFO"/>
    <n v="415"/>
    <n v="88"/>
    <n v="327"/>
    <x v="8"/>
    <s v="MIXING"/>
    <m/>
    <n v="1"/>
  </r>
  <r>
    <n v="72"/>
    <n v="125"/>
    <s v="B16"/>
    <x v="14"/>
    <x v="0"/>
    <s v="RESTACKING"/>
    <s v="FIFO"/>
    <n v="678"/>
    <n v="66"/>
    <n v="612"/>
    <x v="9"/>
    <s v="EXT"/>
    <s v="OK, HABIS"/>
    <n v="1"/>
  </r>
  <r>
    <n v="73"/>
    <n v="273"/>
    <s v="B17"/>
    <x v="22"/>
    <x v="0"/>
    <s v="CONGKEL"/>
    <s v="FIFO"/>
    <m/>
    <m/>
    <n v="649"/>
    <x v="8"/>
    <s v="MIXING"/>
    <m/>
    <n v="1"/>
  </r>
  <r>
    <n v="74"/>
    <n v="17"/>
    <s v="B18"/>
    <x v="22"/>
    <x v="1"/>
    <s v="SCRAP"/>
    <s v="FIFO"/>
    <n v="938"/>
    <n v="104"/>
    <n v="834"/>
    <x v="2"/>
    <s v="MIXING"/>
    <m/>
    <n v="1"/>
  </r>
  <r>
    <n v="75"/>
    <n v="31"/>
    <s v="B19"/>
    <x v="17"/>
    <x v="0"/>
    <s v="MILL DI 4ROLL"/>
    <s v="FIFO"/>
    <n v="960"/>
    <n v="87"/>
    <n v="873"/>
    <x v="7"/>
    <s v="CALCUT"/>
    <s v="OK, HABIS"/>
    <n v="1"/>
  </r>
  <r>
    <n v="76"/>
    <n v="59"/>
    <s v="B19"/>
    <x v="17"/>
    <x v="0"/>
    <s v="COBA GILING DI EXT"/>
    <s v="FIFO"/>
    <m/>
    <m/>
    <n v="226"/>
    <x v="9"/>
    <s v="EXT"/>
    <m/>
    <n v="1"/>
  </r>
  <r>
    <n v="77"/>
    <n v="150"/>
    <s v="B2"/>
    <x v="3"/>
    <x v="0"/>
    <s v="GILING DI EXT"/>
    <s v="FIFO"/>
    <n v="375"/>
    <n v="79"/>
    <n v="296"/>
    <x v="2"/>
    <s v="EXT"/>
    <m/>
    <n v="1"/>
  </r>
  <r>
    <n v="78"/>
    <n v="175"/>
    <s v="B20"/>
    <x v="15"/>
    <x v="0"/>
    <s v="RESTACKING"/>
    <s v="FIFO"/>
    <n v="318"/>
    <n v="66"/>
    <n v="252"/>
    <x v="1"/>
    <s v="MIXING"/>
    <m/>
    <n v="1"/>
  </r>
  <r>
    <n v="79"/>
    <n v="97"/>
    <s v="B20"/>
    <x v="23"/>
    <x v="0"/>
    <s v="RESTACKING"/>
    <s v="FIFO"/>
    <n v="472"/>
    <n v="84"/>
    <n v="388"/>
    <x v="7"/>
    <s v="MIXING"/>
    <m/>
    <n v="1"/>
  </r>
  <r>
    <n v="80"/>
    <n v="173"/>
    <s v="B21"/>
    <x v="14"/>
    <x v="0"/>
    <s v="REMILL"/>
    <s v="FIFO"/>
    <n v="1067"/>
    <n v="113"/>
    <n v="954"/>
    <x v="7"/>
    <s v="MIXING"/>
    <m/>
    <n v="1"/>
  </r>
  <r>
    <n v="81"/>
    <n v="56"/>
    <s v="B22"/>
    <x v="3"/>
    <x v="0"/>
    <s v="COBA GILING DI EXT"/>
    <s v="FIFO"/>
    <m/>
    <m/>
    <n v="151"/>
    <x v="2"/>
    <s v="EXT"/>
    <m/>
    <n v="1"/>
  </r>
  <r>
    <n v="82"/>
    <n v="9"/>
    <s v="B23"/>
    <x v="3"/>
    <x v="0"/>
    <s v="RESTACKING"/>
    <s v="FIFO"/>
    <n v="225"/>
    <n v="66"/>
    <n v="159"/>
    <x v="9"/>
    <s v="MIXING"/>
    <m/>
    <n v="1"/>
  </r>
  <r>
    <n v="83"/>
    <n v="37"/>
    <s v="B24"/>
    <x v="3"/>
    <x v="0"/>
    <s v="RESTACKING"/>
    <s v="FIFO"/>
    <n v="458"/>
    <n v="87"/>
    <n v="371"/>
    <x v="2"/>
    <s v="MIXING"/>
    <m/>
    <n v="1"/>
  </r>
  <r>
    <n v="84"/>
    <n v="143"/>
    <s v="B24"/>
    <x v="23"/>
    <x v="0"/>
    <s v="RESTACKING"/>
    <s v="FIFO"/>
    <m/>
    <m/>
    <n v="500"/>
    <x v="2"/>
    <s v="MIXING "/>
    <m/>
    <n v="1"/>
  </r>
  <r>
    <n v="85"/>
    <n v="16"/>
    <s v="B25"/>
    <x v="4"/>
    <x v="0"/>
    <s v="CONGKEL"/>
    <s v="FIFO"/>
    <n v="417"/>
    <n v="87"/>
    <n v="330"/>
    <x v="2"/>
    <s v="MIXING"/>
    <m/>
    <n v="1"/>
  </r>
  <r>
    <n v="86"/>
    <n v="30"/>
    <s v="B26"/>
    <x v="8"/>
    <x v="0"/>
    <s v="REMILL"/>
    <s v="FIFO"/>
    <n v="862"/>
    <n v="66"/>
    <n v="796"/>
    <x v="2"/>
    <s v="MIXING"/>
    <m/>
    <n v="1"/>
  </r>
  <r>
    <n v="87"/>
    <n v="15"/>
    <s v="B27"/>
    <x v="4"/>
    <x v="1"/>
    <s v="SCRAP"/>
    <s v="FIFO"/>
    <n v="771"/>
    <n v="85"/>
    <n v="686"/>
    <x v="2"/>
    <s v="MIXING"/>
    <m/>
    <n v="1"/>
  </r>
  <r>
    <n v="88"/>
    <n v="24"/>
    <s v="B27"/>
    <x v="21"/>
    <x v="0"/>
    <s v="SEGREGASI"/>
    <s v="FIFO"/>
    <n v="1049"/>
    <n v="103"/>
    <n v="946"/>
    <x v="0"/>
    <s v="MIXING"/>
    <m/>
    <n v="1"/>
  </r>
  <r>
    <n v="89"/>
    <n v="23"/>
    <s v="B28"/>
    <x v="3"/>
    <x v="0"/>
    <s v="CONGKEL"/>
    <s v="FIFO"/>
    <n v="361"/>
    <n v="66"/>
    <n v="295"/>
    <x v="2"/>
    <s v="MIXING"/>
    <m/>
    <n v="1"/>
  </r>
  <r>
    <n v="90"/>
    <n v="39"/>
    <s v="B29"/>
    <x v="3"/>
    <x v="0"/>
    <s v="SEGREGASI"/>
    <s v="FIFO"/>
    <n v="941"/>
    <n v="113"/>
    <n v="828"/>
    <x v="2"/>
    <s v="EXT"/>
    <m/>
    <n v="1"/>
  </r>
  <r>
    <n v="91"/>
    <n v="35"/>
    <s v="B3"/>
    <x v="3"/>
    <x v="0"/>
    <s v="PISAHIN"/>
    <s v="FIFO"/>
    <n v="573"/>
    <n v="125"/>
    <n v="448"/>
    <x v="10"/>
    <s v="MIXING"/>
    <s v="buang"/>
    <n v="1"/>
  </r>
  <r>
    <n v="92"/>
    <n v="27"/>
    <s v="B30"/>
    <x v="3"/>
    <x v="0"/>
    <s v="SEGREGASI"/>
    <s v="FIFO"/>
    <n v="514"/>
    <n v="66"/>
    <n v="448"/>
    <x v="2"/>
    <s v="MIXING"/>
    <m/>
    <n v="1"/>
  </r>
  <r>
    <n v="93"/>
    <n v="98"/>
    <s v="B31"/>
    <x v="22"/>
    <x v="0"/>
    <s v="CONGKEL"/>
    <s v="FIFO"/>
    <m/>
    <m/>
    <n v="500"/>
    <x v="2"/>
    <s v="EXT"/>
    <m/>
    <n v="1"/>
  </r>
  <r>
    <n v="94"/>
    <n v="21"/>
    <s v="B32"/>
    <x v="17"/>
    <x v="0"/>
    <s v="RESTACKING"/>
    <s v="FIFO"/>
    <n v="741"/>
    <n v="104"/>
    <n v="637"/>
    <x v="2"/>
    <s v="EXT"/>
    <m/>
    <n v="1"/>
  </r>
  <r>
    <n v="95"/>
    <n v="15"/>
    <s v="B33"/>
    <x v="21"/>
    <x v="0"/>
    <s v="PISAHIN"/>
    <s v="FIFO"/>
    <n v="266"/>
    <n v="84"/>
    <n v="182"/>
    <x v="2"/>
    <s v="EXT"/>
    <m/>
    <n v="1"/>
  </r>
  <r>
    <n v="96"/>
    <n v="12"/>
    <s v="B34"/>
    <x v="22"/>
    <x v="0"/>
    <s v="SEGREGASI"/>
    <s v="FIFO"/>
    <n v="644"/>
    <n v="123"/>
    <n v="521"/>
    <x v="7"/>
    <s v="EXT"/>
    <m/>
    <n v="1"/>
  </r>
  <r>
    <n v="97"/>
    <n v="4"/>
    <s v="B34"/>
    <x v="8"/>
    <x v="0"/>
    <s v="SEGREGASI"/>
    <s v="FIFO"/>
    <n v="722"/>
    <n v="103"/>
    <n v="619"/>
    <x v="0"/>
    <s v="MIXING"/>
    <s v="OK"/>
    <n v="1"/>
  </r>
  <r>
    <n v="98"/>
    <n v="13"/>
    <s v="B35"/>
    <x v="17"/>
    <x v="0"/>
    <s v="CONGKEL"/>
    <s v="FIFO"/>
    <n v="733"/>
    <n v="84"/>
    <n v="649"/>
    <x v="7"/>
    <s v="MIXING"/>
    <s v="OK"/>
    <n v="1"/>
  </r>
  <r>
    <n v="99"/>
    <n v="33"/>
    <s v="B36"/>
    <x v="17"/>
    <x v="1"/>
    <s v="SCRAP"/>
    <s v="FIFO"/>
    <m/>
    <m/>
    <n v="321"/>
    <x v="2"/>
    <s v="MIXING"/>
    <m/>
    <n v="1"/>
  </r>
  <r>
    <n v="100"/>
    <n v="95"/>
    <s v="B37"/>
    <x v="8"/>
    <x v="1"/>
    <s v="SCRAP"/>
    <s v="FIFO"/>
    <n v="378"/>
    <n v="66"/>
    <n v="312"/>
    <x v="9"/>
    <s v="MIXING"/>
    <m/>
    <n v="1"/>
  </r>
  <r>
    <n v="101"/>
    <n v="37"/>
    <s v="B38"/>
    <x v="22"/>
    <x v="0"/>
    <s v="RESTACKING"/>
    <s v="FIFO"/>
    <n v="673"/>
    <n v="125"/>
    <n v="548"/>
    <x v="9"/>
    <s v="MIXING"/>
    <m/>
    <n v="1"/>
  </r>
  <r>
    <n v="102"/>
    <n v="11"/>
    <s v="B39"/>
    <x v="22"/>
    <x v="1"/>
    <s v="SCRAP"/>
    <s v="FIFO"/>
    <n v="716"/>
    <n v="125"/>
    <n v="591"/>
    <x v="2"/>
    <s v="MIXING"/>
    <m/>
    <n v="1"/>
  </r>
  <r>
    <n v="103"/>
    <n v="14"/>
    <s v="B4"/>
    <x v="3"/>
    <x v="1"/>
    <s v="SCRAP"/>
    <s v="FIFO"/>
    <n v="866"/>
    <n v="103"/>
    <n v="763"/>
    <x v="10"/>
    <s v="EXT"/>
    <s v="scrap TC"/>
    <n v="1"/>
  </r>
  <r>
    <n v="104"/>
    <n v="25"/>
    <s v="A51"/>
    <x v="1"/>
    <x v="1"/>
    <s v="SCRAP"/>
    <s v="FIFO"/>
    <n v="933"/>
    <n v="87"/>
    <n v="846"/>
    <x v="2"/>
    <s v="MIXING"/>
    <m/>
    <n v="1"/>
  </r>
  <r>
    <n v="105"/>
    <n v="26"/>
    <s v="B5"/>
    <x v="3"/>
    <x v="1"/>
    <s v="SCRAP"/>
    <s v="FIFO"/>
    <n v="864"/>
    <n v="125"/>
    <n v="739"/>
    <x v="7"/>
    <s v="CALCUT"/>
    <s v="COBA BB3"/>
    <n v="1"/>
  </r>
  <r>
    <n v="106"/>
    <n v="12"/>
    <s v="A55"/>
    <x v="24"/>
    <x v="1"/>
    <s v="SCRAP"/>
    <s v="FIFO"/>
    <n v="416"/>
    <n v="103"/>
    <n v="313"/>
    <x v="2"/>
    <s v="MIXING"/>
    <m/>
    <n v="1"/>
  </r>
  <r>
    <n v="107"/>
    <n v="8"/>
    <s v="A56"/>
    <x v="17"/>
    <x v="1"/>
    <s v="SCRAP"/>
    <s v="FIFO"/>
    <n v="344"/>
    <n v="125"/>
    <n v="219"/>
    <x v="2"/>
    <s v="MIXING"/>
    <m/>
    <n v="1"/>
  </r>
  <r>
    <n v="108"/>
    <n v="158"/>
    <s v="B52"/>
    <x v="21"/>
    <x v="1"/>
    <s v="SCRAP"/>
    <s v="FIFO"/>
    <n v="578"/>
    <n v="66"/>
    <n v="512"/>
    <x v="2"/>
    <s v="MIXING"/>
    <m/>
    <n v="1"/>
  </r>
  <r>
    <n v="109"/>
    <n v="157"/>
    <s v="B53"/>
    <x v="25"/>
    <x v="1"/>
    <s v="SCRAP"/>
    <s v="FIFO"/>
    <n v="380"/>
    <n v="103"/>
    <n v="277"/>
    <x v="2"/>
    <s v="EXT"/>
    <m/>
    <n v="1"/>
  </r>
  <r>
    <n v="110"/>
    <n v="31"/>
    <s v="B55"/>
    <x v="22"/>
    <x v="1"/>
    <s v="SCRAP"/>
    <s v="FIFO"/>
    <n v="642"/>
    <n v="104"/>
    <n v="538"/>
    <x v="2"/>
    <s v="MIXING"/>
    <m/>
    <n v="1"/>
  </r>
  <r>
    <n v="111"/>
    <n v="111"/>
    <s v="B56"/>
    <x v="3"/>
    <x v="1"/>
    <s v="SCRAP"/>
    <s v="FIFO"/>
    <n v="247"/>
    <n v="125"/>
    <n v="122"/>
    <x v="4"/>
    <s v="EXT"/>
    <m/>
    <n v="1"/>
  </r>
  <r>
    <n v="112"/>
    <n v="154"/>
    <s v="B58"/>
    <x v="4"/>
    <x v="1"/>
    <s v="SCRAP"/>
    <s v="FIFO"/>
    <n v="762"/>
    <n v="125"/>
    <n v="637"/>
    <x v="10"/>
    <s v="EXT"/>
    <s v="scrap TC"/>
    <n v="1"/>
  </r>
  <r>
    <n v="113"/>
    <n v="123"/>
    <s v="B59"/>
    <x v="17"/>
    <x v="1"/>
    <s v="SCRAP"/>
    <s v="FIFO"/>
    <n v="542"/>
    <n v="125"/>
    <n v="417"/>
    <x v="2"/>
    <s v="EXT"/>
    <m/>
    <n v="1"/>
  </r>
  <r>
    <n v="114"/>
    <n v="124"/>
    <s v="B6"/>
    <x v="1"/>
    <x v="1"/>
    <s v="SCRAP"/>
    <s v="FIFO"/>
    <n v="663"/>
    <n v="103"/>
    <n v="560"/>
    <x v="2"/>
    <s v="EXT"/>
    <m/>
    <n v="1"/>
  </r>
  <r>
    <n v="115"/>
    <n v="35"/>
    <s v="B60"/>
    <x v="17"/>
    <x v="1"/>
    <s v="SCRAP"/>
    <s v="FIFO"/>
    <n v="1027"/>
    <n v="103"/>
    <n v="924"/>
    <x v="10"/>
    <s v="EXT"/>
    <s v="scrap TC"/>
    <n v="1"/>
  </r>
  <r>
    <n v="116"/>
    <n v="73"/>
    <s v="B61"/>
    <x v="8"/>
    <x v="1"/>
    <s v="CONGKEL"/>
    <s v="FIFO"/>
    <n v="389"/>
    <n v="125"/>
    <n v="264"/>
    <x v="2"/>
    <s v="EXT"/>
    <m/>
    <n v="1"/>
  </r>
  <r>
    <n v="117"/>
    <n v="75"/>
    <s v="B62"/>
    <x v="8"/>
    <x v="1"/>
    <s v="CONGKEL"/>
    <s v="FIFO"/>
    <n v="691"/>
    <n v="103"/>
    <n v="588"/>
    <x v="2"/>
    <s v="EXT"/>
    <m/>
    <n v="1"/>
  </r>
  <r>
    <n v="118"/>
    <n v="56"/>
    <s v="B63"/>
    <x v="8"/>
    <x v="0"/>
    <s v="RESTACKING"/>
    <s v="FIFO"/>
    <m/>
    <m/>
    <n v="429"/>
    <x v="2"/>
    <s v="MIXING"/>
    <m/>
    <n v="1"/>
  </r>
  <r>
    <n v="119"/>
    <n v="83"/>
    <s v="B64"/>
    <x v="26"/>
    <x v="1"/>
    <s v="SCRAP"/>
    <s v="FIFO"/>
    <m/>
    <m/>
    <n v="189"/>
    <x v="2"/>
    <s v="EXT"/>
    <m/>
    <n v="1"/>
  </r>
  <r>
    <n v="120"/>
    <n v="85"/>
    <s v="B65"/>
    <x v="11"/>
    <x v="0"/>
    <s v="GILING DI EXT"/>
    <s v="FIFO"/>
    <m/>
    <m/>
    <n v="218"/>
    <x v="7"/>
    <s v="EXT"/>
    <m/>
    <n v="1"/>
  </r>
  <r>
    <n v="121"/>
    <n v="62"/>
    <s v="B66"/>
    <x v="8"/>
    <x v="0"/>
    <s v="CONGKEL &amp; RESTACKING"/>
    <s v="FIFO"/>
    <m/>
    <m/>
    <n v="500"/>
    <x v="7"/>
    <s v="EXT"/>
    <m/>
    <n v="1"/>
  </r>
  <r>
    <n v="122"/>
    <n v="64"/>
    <s v="B67"/>
    <x v="4"/>
    <x v="0"/>
    <s v="CONGKEL (OK)"/>
    <s v="FIFO"/>
    <m/>
    <m/>
    <n v="500"/>
    <x v="2"/>
    <s v="EXT"/>
    <m/>
    <n v="1"/>
  </r>
  <r>
    <n v="123"/>
    <n v="84"/>
    <s v="B68"/>
    <x v="9"/>
    <x v="0"/>
    <s v="GILING DI EXT"/>
    <s v="FIFO"/>
    <m/>
    <m/>
    <n v="217"/>
    <x v="2"/>
    <s v="EXT"/>
    <m/>
    <n v="1"/>
  </r>
  <r>
    <n v="124"/>
    <n v="28"/>
    <s v="B7"/>
    <x v="17"/>
    <x v="0"/>
    <s v="RESTACKING"/>
    <s v="FIFO"/>
    <m/>
    <m/>
    <n v="680"/>
    <x v="2"/>
    <s v="MIXING"/>
    <m/>
    <n v="1"/>
  </r>
  <r>
    <n v="125"/>
    <n v="99"/>
    <s v="B7"/>
    <x v="1"/>
    <x v="0"/>
    <s v="REMILL"/>
    <s v="FIFO"/>
    <m/>
    <m/>
    <n v="560"/>
    <x v="11"/>
    <s v="MIXING"/>
    <m/>
    <n v="1"/>
  </r>
  <r>
    <n v="126"/>
    <n v="29"/>
    <s v="B8"/>
    <x v="3"/>
    <x v="0"/>
    <s v="PISAHIN"/>
    <s v="FIFO"/>
    <m/>
    <m/>
    <n v="500"/>
    <x v="2"/>
    <s v="MIXING "/>
    <s v="DARI DPN TANL PROMOLIK"/>
    <n v="1"/>
  </r>
  <r>
    <n v="127"/>
    <n v="36"/>
    <s v="B85"/>
    <x v="7"/>
    <x v="0"/>
    <s v="RESTACKING"/>
    <s v="FIFO"/>
    <m/>
    <m/>
    <n v="500"/>
    <x v="12"/>
    <s v="MIXING "/>
    <s v="OK BY EXT"/>
    <n v="1"/>
  </r>
  <r>
    <n v="128"/>
    <n v="21"/>
    <s v="B86"/>
    <x v="27"/>
    <x v="1"/>
    <s v="SCRAP"/>
    <s v="FIFO"/>
    <n v="634"/>
    <n v="113"/>
    <n v="521"/>
    <x v="8"/>
    <s v="MIXING"/>
    <m/>
    <n v="1"/>
  </r>
  <r>
    <n v="129"/>
    <n v="80"/>
    <s v="B9"/>
    <x v="3"/>
    <x v="0"/>
    <s v="PISAHIN"/>
    <s v="FIFO"/>
    <m/>
    <m/>
    <n v="265"/>
    <x v="2"/>
    <s v="MIXING"/>
    <m/>
    <n v="1"/>
  </r>
  <r>
    <n v="130"/>
    <n v="167"/>
    <s v="B9"/>
    <x v="1"/>
    <x v="1"/>
    <s v="SCRAP"/>
    <s v="FIFO"/>
    <m/>
    <m/>
    <n v="500"/>
    <x v="2"/>
    <s v="MIXING "/>
    <m/>
    <n v="1"/>
  </r>
  <r>
    <n v="131"/>
    <n v="2"/>
    <s v="BB1"/>
    <x v="14"/>
    <x v="1"/>
    <s v="SCRAP"/>
    <s v="FIFO"/>
    <m/>
    <m/>
    <n v="1103"/>
    <x v="12"/>
    <s v="MIXING"/>
    <s v="OK"/>
    <n v="1"/>
  </r>
  <r>
    <n v="132"/>
    <n v="1"/>
    <s v="BB2"/>
    <x v="26"/>
    <x v="1"/>
    <s v="SCRAP"/>
    <s v="FIFO"/>
    <m/>
    <m/>
    <n v="541"/>
    <x v="2"/>
    <s v="MIXING"/>
    <m/>
    <n v="1"/>
  </r>
  <r>
    <n v="133"/>
    <n v="79"/>
    <s v="BE18"/>
    <x v="4"/>
    <x v="0"/>
    <s v="GILING DI EXT"/>
    <s v="AREA RACK DEPAN LAYDOWN"/>
    <m/>
    <m/>
    <n v="192"/>
    <x v="8"/>
    <s v="EXT"/>
    <m/>
    <n v="1"/>
  </r>
  <r>
    <n v="134"/>
    <n v="78"/>
    <s v="BF17"/>
    <x v="3"/>
    <x v="0"/>
    <s v="GILING DI EXT"/>
    <s v="AREA RACK DEPAN LAYDOWN"/>
    <m/>
    <m/>
    <n v="409"/>
    <x v="8"/>
    <s v="EXT"/>
    <m/>
    <n v="1"/>
  </r>
  <r>
    <n v="135"/>
    <n v="46"/>
    <s v="C1"/>
    <x v="3"/>
    <x v="0"/>
    <s v="SEGREGASI"/>
    <s v="FIFO"/>
    <m/>
    <m/>
    <n v="209"/>
    <x v="2"/>
    <s v="MIXING"/>
    <m/>
    <n v="1"/>
  </r>
  <r>
    <n v="136"/>
    <n v="36"/>
    <s v="C10"/>
    <x v="28"/>
    <x v="1"/>
    <s v="LUMPY"/>
    <s v="FIFO"/>
    <m/>
    <m/>
    <n v="596"/>
    <x v="6"/>
    <s v="EXT"/>
    <m/>
    <n v="1"/>
  </r>
  <r>
    <n v="137"/>
    <n v="72"/>
    <s v="C10"/>
    <x v="21"/>
    <x v="0"/>
    <s v="GILING DI EXT"/>
    <s v="FIFO"/>
    <m/>
    <m/>
    <n v="552"/>
    <x v="8"/>
    <s v="EXT"/>
    <m/>
    <n v="1"/>
  </r>
  <r>
    <n v="138"/>
    <n v="83"/>
    <s v="C107"/>
    <x v="6"/>
    <x v="0"/>
    <s v="GILING DI EXT"/>
    <s v="FIFO"/>
    <n v="569"/>
    <n v="66"/>
    <n v="503"/>
    <x v="2"/>
    <s v="MIXING"/>
    <m/>
    <n v="1"/>
  </r>
  <r>
    <n v="139"/>
    <n v="79"/>
    <s v="C108"/>
    <x v="6"/>
    <x v="0"/>
    <s v="SEGREGASI"/>
    <s v="FIFO"/>
    <n v="448"/>
    <n v="84"/>
    <n v="364"/>
    <x v="2"/>
    <s v="EXT"/>
    <m/>
    <m/>
  </r>
  <r>
    <n v="140"/>
    <n v="155"/>
    <s v="C11"/>
    <x v="1"/>
    <x v="1"/>
    <s v="SCRAP"/>
    <s v="FIFO"/>
    <m/>
    <m/>
    <n v="500"/>
    <x v="2"/>
    <s v="MIXING "/>
    <m/>
    <n v="1"/>
  </r>
  <r>
    <n v="141"/>
    <n v="98"/>
    <s v="C12"/>
    <x v="1"/>
    <x v="0"/>
    <s v="POTONG-POTONG"/>
    <s v="FIFO"/>
    <n v="388"/>
    <n v="104"/>
    <n v="284"/>
    <x v="2"/>
    <s v="MIXING"/>
    <m/>
    <n v="1"/>
  </r>
  <r>
    <n v="142"/>
    <n v="13"/>
    <s v="C13"/>
    <x v="2"/>
    <x v="0"/>
    <s v="SEGREGASI"/>
    <s v="FIFO"/>
    <n v="384"/>
    <n v="87"/>
    <n v="297"/>
    <x v="13"/>
    <s v="EXT"/>
    <m/>
    <n v="1"/>
  </r>
  <r>
    <n v="143"/>
    <n v="13"/>
    <s v="C14"/>
    <x v="1"/>
    <x v="0"/>
    <s v="RESTACKING"/>
    <s v="FIFO"/>
    <n v="459"/>
    <n v="84"/>
    <n v="375"/>
    <x v="2"/>
    <s v="EXT"/>
    <m/>
    <n v="1"/>
  </r>
  <r>
    <n v="144"/>
    <n v="174"/>
    <s v="C15"/>
    <x v="29"/>
    <x v="0"/>
    <s v="RESTACKING"/>
    <s v="FIFO"/>
    <n v="1087"/>
    <n v="104"/>
    <n v="983"/>
    <x v="7"/>
    <s v="MIXING"/>
    <m/>
    <n v="1"/>
  </r>
  <r>
    <n v="145"/>
    <n v="166"/>
    <s v="C16"/>
    <x v="30"/>
    <x v="0"/>
    <s v="CONGKEL"/>
    <s v="FIFO"/>
    <n v="615"/>
    <n v="125"/>
    <n v="490"/>
    <x v="2"/>
    <s v="MIXING"/>
    <m/>
    <n v="1"/>
  </r>
  <r>
    <n v="146"/>
    <n v="173"/>
    <s v="C17"/>
    <x v="1"/>
    <x v="0"/>
    <s v="CONGKEL"/>
    <s v="FIFO"/>
    <n v="1110"/>
    <n v="66"/>
    <n v="1044"/>
    <x v="2"/>
    <s v="MIXING"/>
    <m/>
    <n v="1"/>
  </r>
  <r>
    <n v="147"/>
    <n v="31"/>
    <s v="C18"/>
    <x v="31"/>
    <x v="0"/>
    <s v="SEGREGASI"/>
    <s v="FIFO"/>
    <n v="702"/>
    <n v="113"/>
    <n v="589"/>
    <x v="9"/>
    <s v="MIXING"/>
    <s v="OK"/>
    <n v="1"/>
  </r>
  <r>
    <n v="148"/>
    <n v="34"/>
    <s v="C18"/>
    <x v="14"/>
    <x v="0"/>
    <s v="SCRAP"/>
    <s v="FIFO"/>
    <n v="861"/>
    <n v="113"/>
    <n v="748"/>
    <x v="8"/>
    <s v="MIXING"/>
    <m/>
    <n v="1"/>
  </r>
  <r>
    <n v="149"/>
    <n v="6"/>
    <s v="C19"/>
    <x v="3"/>
    <x v="0"/>
    <s v="OK"/>
    <s v="FIFO"/>
    <n v="695"/>
    <n v="113"/>
    <n v="582"/>
    <x v="11"/>
    <s v="MIXING"/>
    <m/>
    <n v="1"/>
  </r>
  <r>
    <n v="150"/>
    <n v="22"/>
    <s v="C20"/>
    <x v="17"/>
    <x v="1"/>
    <s v="SCRAP"/>
    <s v="FIFO"/>
    <n v="386"/>
    <n v="113"/>
    <n v="273"/>
    <x v="2"/>
    <s v="MIXING"/>
    <m/>
    <n v="1"/>
  </r>
  <r>
    <n v="151"/>
    <n v="22"/>
    <s v="C21"/>
    <x v="17"/>
    <x v="0"/>
    <s v="OK"/>
    <s v="FIFO"/>
    <n v="947"/>
    <n v="113"/>
    <n v="834"/>
    <x v="2"/>
    <s v="MIXING"/>
    <m/>
    <n v="1"/>
  </r>
  <r>
    <n v="152"/>
    <n v="36"/>
    <s v="C22"/>
    <x v="3"/>
    <x v="0"/>
    <s v="CONGKEL"/>
    <s v="FIFO"/>
    <n v="343"/>
    <n v="87"/>
    <n v="256"/>
    <x v="2"/>
    <s v="MIXING"/>
    <m/>
    <n v="1"/>
  </r>
  <r>
    <n v="153"/>
    <n v="137"/>
    <s v="C23"/>
    <x v="3"/>
    <x v="0"/>
    <s v="RESTACKING"/>
    <s v="FIFO"/>
    <m/>
    <m/>
    <n v="500"/>
    <x v="9"/>
    <s v="MIXING "/>
    <m/>
    <n v="1"/>
  </r>
  <r>
    <n v="154"/>
    <n v="53"/>
    <s v="C24"/>
    <x v="3"/>
    <x v="0"/>
    <s v="RESTACKING"/>
    <s v="FIFO"/>
    <n v="593"/>
    <n v="66"/>
    <n v="527"/>
    <x v="2"/>
    <s v="MIXING"/>
    <m/>
    <n v="1"/>
  </r>
  <r>
    <n v="155"/>
    <n v="29"/>
    <s v="C25"/>
    <x v="3"/>
    <x v="0"/>
    <s v="CONGKEL"/>
    <s v="FIFO"/>
    <n v="561"/>
    <n v="103"/>
    <n v="458"/>
    <x v="2"/>
    <s v="EXT"/>
    <m/>
    <n v="1"/>
  </r>
  <r>
    <n v="156"/>
    <n v="276"/>
    <s v="C27"/>
    <x v="4"/>
    <x v="0"/>
    <s v="CONGKEL"/>
    <s v="FIFO"/>
    <m/>
    <m/>
    <n v="477"/>
    <x v="2"/>
    <s v="MIXING"/>
    <m/>
    <n v="1"/>
  </r>
  <r>
    <n v="157"/>
    <n v="99"/>
    <s v="C28"/>
    <x v="8"/>
    <x v="0"/>
    <s v="CONGKEL"/>
    <s v="FIFO"/>
    <m/>
    <m/>
    <n v="301"/>
    <x v="2"/>
    <s v="EXT"/>
    <m/>
    <m/>
  </r>
  <r>
    <n v="158"/>
    <n v="19"/>
    <s v="C3"/>
    <x v="11"/>
    <x v="0"/>
    <s v="RESTACKING"/>
    <s v="FIFO"/>
    <n v="527"/>
    <n v="104"/>
    <n v="423"/>
    <x v="2"/>
    <s v="EXT"/>
    <m/>
    <n v="1"/>
  </r>
  <r>
    <n v="159"/>
    <n v="18"/>
    <s v="C30"/>
    <x v="3"/>
    <x v="0"/>
    <s v="RESTACKING"/>
    <s v="FIFO"/>
    <n v="656"/>
    <n v="113"/>
    <n v="543"/>
    <x v="2"/>
    <s v="EXT"/>
    <m/>
    <n v="1"/>
  </r>
  <r>
    <n v="160"/>
    <n v="23"/>
    <s v="C31"/>
    <x v="22"/>
    <x v="0"/>
    <s v="RESTACKING"/>
    <s v="FIFO"/>
    <n v="241"/>
    <n v="79"/>
    <n v="162"/>
    <x v="10"/>
    <s v="EXT"/>
    <m/>
    <n v="1"/>
  </r>
  <r>
    <n v="161"/>
    <n v="1"/>
    <s v="C31"/>
    <x v="3"/>
    <x v="0"/>
    <s v="PISAHIN"/>
    <s v="FIFO"/>
    <n v="915"/>
    <n v="125"/>
    <n v="790"/>
    <x v="8"/>
    <s v="MIXING"/>
    <m/>
    <n v="1"/>
  </r>
  <r>
    <n v="162"/>
    <n v="3"/>
    <s v="C32"/>
    <x v="21"/>
    <x v="0"/>
    <s v="GILING DI EXT"/>
    <s v="FIFO"/>
    <n v="426"/>
    <n v="66"/>
    <n v="360"/>
    <x v="2"/>
    <s v="EXT"/>
    <m/>
    <n v="1"/>
  </r>
  <r>
    <n v="163"/>
    <n v="86"/>
    <s v="C33"/>
    <x v="8"/>
    <x v="0"/>
    <s v="EXT"/>
    <s v="FIFO"/>
    <m/>
    <m/>
    <n v="500"/>
    <x v="7"/>
    <s v="EXT"/>
    <m/>
    <n v="1"/>
  </r>
  <r>
    <n v="164"/>
    <n v="110"/>
    <s v="C33"/>
    <x v="30"/>
    <x v="1"/>
    <s v="SCRAP"/>
    <s v="FIFO"/>
    <n v="370"/>
    <n v="85"/>
    <n v="285"/>
    <x v="2"/>
    <s v="MIXING"/>
    <m/>
    <n v="1"/>
  </r>
  <r>
    <n v="165"/>
    <n v="9"/>
    <s v="C34"/>
    <x v="8"/>
    <x v="1"/>
    <s v="SCRAP"/>
    <s v="FIFO"/>
    <n v="550"/>
    <n v="66"/>
    <n v="484"/>
    <x v="12"/>
    <s v="EXT"/>
    <s v="gagal SCRAP"/>
    <n v="1"/>
  </r>
  <r>
    <n v="166"/>
    <n v="28"/>
    <s v="C35"/>
    <x v="7"/>
    <x v="1"/>
    <s v="SCRAP"/>
    <s v="FIFO"/>
    <n v="954"/>
    <n v="125"/>
    <n v="829"/>
    <x v="2"/>
    <s v="MIXING"/>
    <m/>
    <n v="1"/>
  </r>
  <r>
    <n v="167"/>
    <n v="5"/>
    <s v="C36"/>
    <x v="32"/>
    <x v="1"/>
    <s v="SCRAP"/>
    <s v="FIFO"/>
    <n v="699"/>
    <n v="125"/>
    <n v="574"/>
    <x v="9"/>
    <s v="MIXING"/>
    <m/>
    <n v="1"/>
  </r>
  <r>
    <n v="168"/>
    <n v="8"/>
    <s v="C37"/>
    <x v="17"/>
    <x v="1"/>
    <s v="SCRAP"/>
    <s v="FIFO"/>
    <n v="870"/>
    <n v="84"/>
    <n v="786"/>
    <x v="9"/>
    <s v="EXT"/>
    <m/>
    <n v="1"/>
  </r>
  <r>
    <n v="169"/>
    <n v="7"/>
    <s v="C38"/>
    <x v="22"/>
    <x v="1"/>
    <s v="SCRAP"/>
    <s v="FIFO"/>
    <n v="822"/>
    <n v="79"/>
    <n v="743"/>
    <x v="7"/>
    <s v="MIXING"/>
    <m/>
    <n v="1"/>
  </r>
  <r>
    <n v="170"/>
    <n v="17"/>
    <s v="C39"/>
    <x v="29"/>
    <x v="1"/>
    <s v="SCRAP"/>
    <s v="FIFO"/>
    <n v="617"/>
    <n v="104"/>
    <n v="513"/>
    <x v="2"/>
    <s v="EXT"/>
    <m/>
    <n v="1"/>
  </r>
  <r>
    <n v="171"/>
    <n v="20"/>
    <s v="C39"/>
    <x v="7"/>
    <x v="1"/>
    <s v="SCRAP"/>
    <s v="FIFO"/>
    <n v="554"/>
    <n v="66"/>
    <n v="488"/>
    <x v="3"/>
    <s v="MIXING"/>
    <m/>
    <n v="1"/>
  </r>
  <r>
    <n v="172"/>
    <n v="28"/>
    <s v="C4"/>
    <x v="3"/>
    <x v="1"/>
    <s v="SCRAP"/>
    <s v="FIFO"/>
    <n v="1223"/>
    <n v="125"/>
    <n v="1098"/>
    <x v="2"/>
    <s v="EXT"/>
    <m/>
    <n v="1"/>
  </r>
  <r>
    <n v="173"/>
    <n v="32"/>
    <s v="A57"/>
    <x v="26"/>
    <x v="1"/>
    <s v="SCRAP"/>
    <s v="FIFO"/>
    <n v="547"/>
    <n v="103"/>
    <n v="444"/>
    <x v="2"/>
    <s v="EXT"/>
    <m/>
    <n v="1"/>
  </r>
  <r>
    <n v="174"/>
    <n v="15"/>
    <s v="C5"/>
    <x v="4"/>
    <x v="1"/>
    <s v="SCRAP"/>
    <s v="FIFO"/>
    <n v="224"/>
    <n v="104"/>
    <n v="120"/>
    <x v="7"/>
    <s v="EXT"/>
    <m/>
    <n v="1"/>
  </r>
  <r>
    <n v="175"/>
    <n v="14"/>
    <s v="B56"/>
    <x v="24"/>
    <x v="1"/>
    <s v="REMILL"/>
    <s v="FIFO"/>
    <n v="484"/>
    <n v="125"/>
    <n v="359"/>
    <x v="2"/>
    <s v="MIXING"/>
    <m/>
    <n v="1"/>
  </r>
  <r>
    <n v="176"/>
    <n v="73"/>
    <s v="B57"/>
    <x v="8"/>
    <x v="1"/>
    <s v="SCRAP"/>
    <s v="FIFO"/>
    <n v="1039"/>
    <n v="100"/>
    <n v="939"/>
    <x v="2"/>
    <s v="MIXING"/>
    <m/>
    <n v="1"/>
  </r>
  <r>
    <n v="177"/>
    <n v="26"/>
    <s v="C52"/>
    <x v="14"/>
    <x v="1"/>
    <s v="SCRAP"/>
    <s v="FIFO"/>
    <n v="278"/>
    <n v="113"/>
    <n v="165"/>
    <x v="2"/>
    <s v="CALCUT"/>
    <m/>
    <n v="1"/>
  </r>
  <r>
    <n v="178"/>
    <n v="42"/>
    <s v="C53"/>
    <x v="14"/>
    <x v="1"/>
    <s v="SCRAP"/>
    <s v="FIFO"/>
    <n v="906"/>
    <n v="124"/>
    <n v="782"/>
    <x v="2"/>
    <s v="EXT"/>
    <m/>
    <n v="1"/>
  </r>
  <r>
    <n v="179"/>
    <n v="95"/>
    <s v="C54"/>
    <x v="21"/>
    <x v="1"/>
    <s v="SCRAP"/>
    <s v="FIFO"/>
    <n v="464"/>
    <n v="113"/>
    <n v="351"/>
    <x v="2"/>
    <s v="MIXING"/>
    <m/>
    <n v="1"/>
  </r>
  <r>
    <n v="180"/>
    <n v="177"/>
    <s v="C55"/>
    <x v="26"/>
    <x v="1"/>
    <s v="SCRAP"/>
    <s v="FIFO"/>
    <m/>
    <m/>
    <n v="559"/>
    <x v="2"/>
    <s v="CALCUT"/>
    <m/>
    <n v="1"/>
  </r>
  <r>
    <n v="181"/>
    <n v="172"/>
    <s v="C56"/>
    <x v="14"/>
    <x v="1"/>
    <s v="PISAHIN"/>
    <s v="FIFO"/>
    <n v="377"/>
    <n v="79"/>
    <n v="298"/>
    <x v="2"/>
    <s v="EXT"/>
    <m/>
    <n v="1"/>
  </r>
  <r>
    <n v="182"/>
    <n v="113"/>
    <s v="C57"/>
    <x v="30"/>
    <x v="1"/>
    <s v="ATAS PISAH BAWAH OK"/>
    <s v="FIFO"/>
    <n v="520"/>
    <n v="113"/>
    <n v="407"/>
    <x v="2"/>
    <s v="CALCUT"/>
    <m/>
    <n v="1"/>
  </r>
  <r>
    <n v="183"/>
    <n v="78"/>
    <s v="C6"/>
    <x v="1"/>
    <x v="1"/>
    <s v="SCRAP"/>
    <s v="FIFO"/>
    <n v="619"/>
    <n v="66"/>
    <n v="553"/>
    <x v="2"/>
    <s v="EXT"/>
    <m/>
    <n v="1"/>
  </r>
  <r>
    <n v="184"/>
    <n v="87"/>
    <s v="C6"/>
    <x v="1"/>
    <x v="1"/>
    <s v="SCRAP"/>
    <s v="FIFO"/>
    <m/>
    <m/>
    <n v="303"/>
    <x v="2"/>
    <s v="MIXING"/>
    <m/>
    <n v="1"/>
  </r>
  <r>
    <n v="185"/>
    <n v="179"/>
    <s v="C60"/>
    <x v="2"/>
    <x v="1"/>
    <s v="SCRAP"/>
    <s v="FIFO"/>
    <m/>
    <m/>
    <n v="540"/>
    <x v="2"/>
    <s v="MIXING"/>
    <m/>
    <n v="1"/>
  </r>
  <r>
    <n v="186"/>
    <n v="91"/>
    <s v="C61"/>
    <x v="0"/>
    <x v="0"/>
    <s v="REMILL"/>
    <s v="FIFO"/>
    <m/>
    <m/>
    <n v="870"/>
    <x v="2"/>
    <s v="MIXING"/>
    <s v="Sudah di scrap"/>
    <n v="1"/>
  </r>
  <r>
    <n v="187"/>
    <n v="90"/>
    <s v="C62"/>
    <x v="25"/>
    <x v="0"/>
    <s v="REMILL"/>
    <s v="FIFO"/>
    <m/>
    <m/>
    <n v="729"/>
    <x v="2"/>
    <s v="MIXING"/>
    <m/>
    <n v="1"/>
  </r>
  <r>
    <n v="188"/>
    <n v="86"/>
    <s v="C63"/>
    <x v="2"/>
    <x v="0"/>
    <s v="SEGREGASI"/>
    <s v="FIFO"/>
    <m/>
    <m/>
    <n v="279"/>
    <x v="2"/>
    <s v="MIXING"/>
    <m/>
    <n v="1"/>
  </r>
  <r>
    <n v="189"/>
    <n v="74"/>
    <s v="C64"/>
    <x v="17"/>
    <x v="0"/>
    <s v="CONGKEL &amp; RESTACKING"/>
    <s v="FIFO"/>
    <m/>
    <m/>
    <n v="500"/>
    <x v="7"/>
    <s v="EXT"/>
    <m/>
    <n v="1"/>
  </r>
  <r>
    <n v="190"/>
    <n v="76"/>
    <s v="C65"/>
    <x v="33"/>
    <x v="0"/>
    <s v="CONGKEL &amp; RESTACKING"/>
    <s v="FIFO"/>
    <m/>
    <m/>
    <n v="500"/>
    <x v="2"/>
    <s v="EXT"/>
    <m/>
    <n v="1"/>
  </r>
  <r>
    <n v="191"/>
    <n v="77"/>
    <s v="C66"/>
    <x v="17"/>
    <x v="0"/>
    <s v="CONGKEL &amp; RESTACKING (EXT)"/>
    <s v="FIFO"/>
    <m/>
    <m/>
    <n v="500"/>
    <x v="2"/>
    <s v="EXT"/>
    <m/>
    <n v="1"/>
  </r>
  <r>
    <n v="192"/>
    <n v="215"/>
    <s v="C67"/>
    <x v="4"/>
    <x v="0"/>
    <s v="RESTACKING"/>
    <s v="FIFO"/>
    <m/>
    <m/>
    <n v="500"/>
    <x v="2"/>
    <s v="EXT"/>
    <m/>
    <n v="1"/>
  </r>
  <r>
    <n v="193"/>
    <n v="216"/>
    <s v="C68"/>
    <x v="4"/>
    <x v="0"/>
    <s v="RESTACKING"/>
    <s v="FIFO"/>
    <m/>
    <m/>
    <n v="500"/>
    <x v="2"/>
    <s v="EXT"/>
    <m/>
    <n v="1"/>
  </r>
  <r>
    <n v="194"/>
    <n v="217"/>
    <s v="C7"/>
    <x v="4"/>
    <x v="0"/>
    <s v="CONGKEL"/>
    <s v="FIFO"/>
    <m/>
    <m/>
    <n v="500"/>
    <x v="2"/>
    <s v="MIXING "/>
    <m/>
    <n v="1"/>
  </r>
  <r>
    <n v="195"/>
    <n v="58"/>
    <s v="C8"/>
    <x v="3"/>
    <x v="0"/>
    <s v="SEBAGAI OS T16R5"/>
    <s v="FIFO"/>
    <m/>
    <m/>
    <n v="500"/>
    <x v="7"/>
    <s v="MIXING "/>
    <m/>
    <n v="1"/>
  </r>
  <r>
    <n v="196"/>
    <n v="203"/>
    <s v="C9"/>
    <x v="3"/>
    <x v="0"/>
    <s v="RESTACKING"/>
    <s v="FIFO"/>
    <m/>
    <m/>
    <n v="320"/>
    <x v="2"/>
    <s v="MIXING"/>
    <s v="DARI DPN TANL PROMOLIK"/>
    <n v="1"/>
  </r>
  <r>
    <n v="197"/>
    <n v="202"/>
    <s v="C9"/>
    <x v="3"/>
    <x v="0"/>
    <s v="CONGKEL"/>
    <s v="FIFO"/>
    <m/>
    <m/>
    <n v="357"/>
    <x v="7"/>
    <s v="EXT"/>
    <m/>
    <n v="1"/>
  </r>
  <r>
    <n v="198"/>
    <n v="250"/>
    <s v="C94"/>
    <x v="17"/>
    <x v="0"/>
    <s v="PISAHIN"/>
    <s v="FIFO"/>
    <m/>
    <m/>
    <n v="500"/>
    <x v="8"/>
    <s v="MIXING"/>
    <m/>
    <n v="1"/>
  </r>
  <r>
    <n v="199"/>
    <n v="100"/>
    <s v="C95"/>
    <x v="7"/>
    <x v="0"/>
    <s v="RESTACKING"/>
    <s v="FIFO"/>
    <m/>
    <m/>
    <n v="500"/>
    <x v="8"/>
    <s v="MIXING"/>
    <m/>
    <n v="1"/>
  </r>
  <r>
    <n v="200"/>
    <n v="17"/>
    <s v="C96"/>
    <x v="7"/>
    <x v="0"/>
    <s v="CONGKEL "/>
    <s v="FIFO"/>
    <m/>
    <m/>
    <n v="500"/>
    <x v="0"/>
    <s v="MIXING"/>
    <s v="Habis"/>
    <n v="1"/>
  </r>
  <r>
    <n v="201"/>
    <n v="162"/>
    <s v="LANTAI"/>
    <x v="7"/>
    <x v="0"/>
    <s v="PISAHIN"/>
    <s v="DEPAN LAYDOWN BB2"/>
    <m/>
    <m/>
    <n v="500"/>
    <x v="3"/>
    <s v="MIXING"/>
    <m/>
    <n v="1"/>
  </r>
  <r>
    <n v="202"/>
    <n v="33"/>
    <s v="LANTAI"/>
    <x v="14"/>
    <x v="0"/>
    <s v="RESTACKING"/>
    <s v="DEPAN LAYDOWN BB2"/>
    <m/>
    <m/>
    <n v="500"/>
    <x v="3"/>
    <s v="MIXING"/>
    <m/>
    <n v="1"/>
  </r>
  <r>
    <n v="203"/>
    <n v="57"/>
    <s v="LANTAI"/>
    <x v="8"/>
    <x v="1"/>
    <s v="SCRAP"/>
    <s v="DEPAN LAYDOWN BB2"/>
    <m/>
    <m/>
    <n v="500"/>
    <x v="3"/>
    <s v="MIXING"/>
    <m/>
    <n v="1"/>
  </r>
  <r>
    <n v="204"/>
    <n v="39"/>
    <s v="OTR"/>
    <x v="20"/>
    <x v="0"/>
    <s v="RESTACKING"/>
    <s v="AREA WT RELEASE"/>
    <m/>
    <m/>
    <n v="500"/>
    <x v="0"/>
    <s v="MIXING"/>
    <m/>
    <n v="1"/>
  </r>
  <r>
    <n v="205"/>
    <n v="30"/>
    <s v="LANTAI"/>
    <x v="9"/>
    <x v="0"/>
    <s v="RESTACKING"/>
    <s v="SAMPING LAYDOWN BB2"/>
    <m/>
    <m/>
    <n v="500"/>
    <x v="7"/>
    <s v="MIXING"/>
    <m/>
    <n v="1"/>
  </r>
  <r>
    <n v="206"/>
    <n v="202"/>
    <s v="LANTAI"/>
    <x v="34"/>
    <x v="0"/>
    <s v="CONGKEL"/>
    <s v="SAMPING LAYDOWN BB2"/>
    <m/>
    <m/>
    <n v="357"/>
    <x v="7"/>
    <s v="EXT"/>
    <s v="OK"/>
    <n v="1"/>
  </r>
  <r>
    <n v="207"/>
    <n v="250"/>
    <s v="LANTAI"/>
    <x v="8"/>
    <x v="0"/>
    <s v="PISAHIN"/>
    <s v="DEPAN LAYDOWN BB2"/>
    <m/>
    <m/>
    <n v="500"/>
    <x v="9"/>
    <s v="MIXING"/>
    <m/>
    <n v="1"/>
  </r>
  <r>
    <n v="208"/>
    <n v="100"/>
    <s v="LANTAI"/>
    <x v="35"/>
    <x v="0"/>
    <s v="RESTACKING"/>
    <s v="DEPAN LAYDOWN BB2"/>
    <m/>
    <m/>
    <n v="500"/>
    <x v="9"/>
    <s v="MIXING"/>
    <m/>
    <n v="1"/>
  </r>
  <r>
    <n v="209"/>
    <n v="17"/>
    <s v="LANTAI"/>
    <x v="17"/>
    <x v="0"/>
    <s v="CONGKEL "/>
    <s v="DEPAN LAYDOWN BB2"/>
    <m/>
    <m/>
    <n v="500"/>
    <x v="9"/>
    <s v="MIXING"/>
    <m/>
    <n v="1"/>
  </r>
  <r>
    <n v="210"/>
    <n v="162"/>
    <s v="LANTAI"/>
    <x v="8"/>
    <x v="0"/>
    <s v="PISAHIN"/>
    <s v="DEPAN LAYDOWN BB2"/>
    <m/>
    <m/>
    <n v="500"/>
    <x v="9"/>
    <s v="MIXING"/>
    <s v="OK Habis"/>
    <n v="1"/>
  </r>
  <r>
    <n v="211"/>
    <n v="33"/>
    <s v="LANTAI"/>
    <x v="36"/>
    <x v="0"/>
    <s v="RESTACKING"/>
    <s v="DEPAN LAYDOWN BB2"/>
    <m/>
    <m/>
    <n v="500"/>
    <x v="9"/>
    <s v="MIXING"/>
    <m/>
    <n v="1"/>
  </r>
  <r>
    <n v="212"/>
    <n v="57"/>
    <s v="LANTAI"/>
    <x v="26"/>
    <x v="1"/>
    <s v="SCRAP"/>
    <s v="DEPAN LAYDOWN BB2"/>
    <m/>
    <m/>
    <n v="500"/>
    <x v="11"/>
    <s v="MIXING"/>
    <m/>
    <n v="1"/>
  </r>
  <r>
    <n v="213"/>
    <n v="39"/>
    <s v="LANTAI"/>
    <x v="14"/>
    <x v="0"/>
    <s v="RESTACKING"/>
    <s v="DEPAN LAYDOWN BB2"/>
    <m/>
    <m/>
    <n v="500"/>
    <x v="11"/>
    <s v="MIXING"/>
    <s v="OK"/>
    <n v="1"/>
  </r>
  <r>
    <n v="214"/>
    <n v="30"/>
    <s v="LANTAI"/>
    <x v="7"/>
    <x v="0"/>
    <s v="RESTACKING"/>
    <s v="DEPAN LAYDOWN BB2"/>
    <m/>
    <m/>
    <n v="500"/>
    <x v="11"/>
    <s v="MIXING"/>
    <m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1"/>
    <s v="A103"/>
    <s v="B337X"/>
    <s v="SCRAP"/>
    <s v="SCRAP"/>
    <s v="FIFO"/>
    <m/>
    <s v="MIXING "/>
    <n v="1"/>
  </r>
  <r>
    <n v="2"/>
    <s v="B103"/>
    <s v="B337X"/>
    <s v="SCRAP"/>
    <s v="SCRAP"/>
    <s v="FIFO"/>
    <m/>
    <s v="MIXING "/>
    <n v="1"/>
  </r>
  <r>
    <n v="3"/>
    <s v="A105"/>
    <s v="B337X"/>
    <s v="SCRAP"/>
    <s v="SCRAP"/>
    <s v="FIFO"/>
    <m/>
    <s v="MIXING "/>
    <n v="1"/>
  </r>
  <r>
    <n v="4"/>
    <s v="B105"/>
    <s v="B337X"/>
    <s v="SCRAP"/>
    <s v="SCRAP"/>
    <s v="FIFO"/>
    <m/>
    <s v="MIXING "/>
    <n v="1"/>
  </r>
  <r>
    <n v="5"/>
    <s v="A106"/>
    <s v="B337X"/>
    <s v="SCRAP"/>
    <s v="SCRAP"/>
    <s v="FIFO"/>
    <m/>
    <s v="MIXING "/>
    <n v="1"/>
  </r>
  <r>
    <n v="6"/>
    <s v="B106"/>
    <s v="B337X"/>
    <s v="SCRAP"/>
    <s v="SCRAP"/>
    <s v="FIFO"/>
    <m/>
    <s v="MIXING "/>
    <n v="1"/>
  </r>
  <r>
    <n v="7"/>
    <s v="C106"/>
    <s v="B337X"/>
    <s v="SCRAP"/>
    <s v="SCRAP"/>
    <s v="FIFO"/>
    <m/>
    <s v="MIXING "/>
    <n v="1"/>
  </r>
  <r>
    <n v="8"/>
    <s v="A108"/>
    <s v="B337X"/>
    <s v="SCRAP"/>
    <s v="SCRAP"/>
    <s v="FIFO"/>
    <m/>
    <s v="MIXING "/>
    <n v="1"/>
  </r>
  <r>
    <n v="9"/>
    <s v="B108"/>
    <s v="B337X"/>
    <s v="SCRAP"/>
    <s v="SCRAP"/>
    <s v="FIFO"/>
    <m/>
    <s v="MIXING "/>
    <n v="1"/>
  </r>
  <r>
    <n v="10"/>
    <s v="C108"/>
    <s v="B337X"/>
    <s v="SCRAP"/>
    <s v="SCRAP"/>
    <s v="FIFO"/>
    <m/>
    <s v="MIXING "/>
    <n v="1"/>
  </r>
  <r>
    <n v="28"/>
    <s v="OTR"/>
    <s v="S888R"/>
    <s v="SCRAP"/>
    <s v="LUMPY"/>
    <s v="AREA RACK DEPAN LAYDOWN"/>
    <m/>
    <s v="MIXING "/>
    <n v="1"/>
  </r>
  <r>
    <n v="29"/>
    <s v="BE18"/>
    <s v="S888R"/>
    <s v="OK "/>
    <s v="PISAHIN"/>
    <s v="AREA RACK DEPAN LAYDOWN"/>
    <d v="2026-06-24T00:00:00"/>
    <s v="MIXING "/>
    <n v="1"/>
  </r>
  <r>
    <n v="30"/>
    <s v="BE17"/>
    <s v="S003R"/>
    <s v="OK "/>
    <s v="RESTACKING"/>
    <s v="AREA RACK DEPAN LAYDOWN"/>
    <m/>
    <s v="MIXING "/>
    <n v="1"/>
  </r>
  <r>
    <n v="31"/>
    <s v="BE16"/>
    <s v="S888R"/>
    <s v="SCRAP"/>
    <s v="LUMPY"/>
    <s v="AREA RACK DEPAN LAYDOWN"/>
    <m/>
    <s v="MIXING "/>
    <n v="1"/>
  </r>
  <r>
    <n v="32"/>
    <s v="CF18"/>
    <s v="B1578"/>
    <s v="SCRAP"/>
    <s v="LUMPY"/>
    <s v="AREA RACK DEPAN LAYDOWN"/>
    <m/>
    <s v="CALCUT"/>
    <n v="1"/>
  </r>
  <r>
    <n v="33"/>
    <s v="CF17"/>
    <s v="S003R"/>
    <s v="SCRAP"/>
    <s v="SCRAP"/>
    <s v="AREA RACK DEPAN LAYDOWN"/>
    <m/>
    <s v="MIXING "/>
    <n v="1"/>
  </r>
  <r>
    <n v="34"/>
    <s v="CF16"/>
    <s v="S003R"/>
    <s v="SCRAP"/>
    <s v="SCRAP"/>
    <s v="AREA RACK DEPAN LAYDOWN"/>
    <m/>
    <s v="MIXING "/>
    <n v="1"/>
  </r>
  <r>
    <n v="35"/>
    <s v="BF16"/>
    <s v="K269A"/>
    <s v="SCRAP"/>
    <s v="SCRAP"/>
    <s v="AREA RACK DEPAN LAYDOWN"/>
    <m/>
    <s v="MIXING "/>
    <n v="1"/>
  </r>
  <r>
    <n v="36"/>
    <s v="BF17"/>
    <s v="S003R"/>
    <s v="OK "/>
    <s v="RESTACKING"/>
    <s v="AREA RACK DEPAN LAYDOWN"/>
    <d v="2026-06-24T00:00:00"/>
    <s v="MIXING "/>
    <n v="1"/>
  </r>
  <r>
    <n v="37"/>
    <s v="BF18"/>
    <s v="S003R"/>
    <s v="OK "/>
    <s v="PISAHIN"/>
    <s v="AREA RACK DEPAN LAYDOWN"/>
    <m/>
    <s v="MIXING "/>
    <n v="1"/>
  </r>
  <r>
    <n v="38"/>
    <s v="AF16"/>
    <s v="S888R"/>
    <s v="SCRAP"/>
    <s v="LUMPY"/>
    <s v="AREA RACK DEPAN LAYDOWN"/>
    <m/>
    <s v="MIXING "/>
    <n v="1"/>
  </r>
  <r>
    <n v="39"/>
    <s v="AF17"/>
    <s v="S003R"/>
    <s v="SCRAP"/>
    <s v="LUMPY"/>
    <s v="AREA RACK DEPAN LAYDOWN"/>
    <m/>
    <s v="MIXING "/>
    <n v="1"/>
  </r>
  <r>
    <n v="40"/>
    <s v="AF18"/>
    <s v="S003R"/>
    <s v="SCRAP"/>
    <s v="LUMPY"/>
    <s v="AREA RACK DEPAN LAYDOWN"/>
    <m/>
    <s v="MIXING "/>
    <n v="1"/>
  </r>
  <r>
    <n v="41"/>
    <s v="OTR"/>
    <s v="S777C"/>
    <s v="OK "/>
    <s v="RESTACKING"/>
    <s v="AREA RACK DEPAN LAYDOWN"/>
    <m/>
    <s v="MIXING "/>
    <n v="1"/>
  </r>
  <r>
    <n v="42"/>
    <s v="OTR"/>
    <s v="K941A"/>
    <s v="SCRAP"/>
    <s v="LUMPY"/>
    <s v="AREA RACK DEPAN LAYDOWN"/>
    <m/>
    <s v="EXT"/>
    <n v="1"/>
  </r>
  <r>
    <n v="43"/>
    <s v="OTR"/>
    <s v="S003R"/>
    <s v="OK "/>
    <s v="BAGUS"/>
    <s v="AREA RACK DEPAN LAYDOWN"/>
    <m/>
    <s v="MIXING "/>
    <n v="1"/>
  </r>
  <r>
    <n v="44"/>
    <s v="CF24"/>
    <s v="T4427R"/>
    <s v="OK "/>
    <s v="LENGKET"/>
    <s v="AREA WT RELEASE"/>
    <m/>
    <s v="EXT"/>
    <n v="1"/>
  </r>
  <r>
    <n v="45"/>
    <s v="AE15"/>
    <m/>
    <s v="OK "/>
    <s v="LENGKET"/>
    <s v="AREA WT RELEASE"/>
    <m/>
    <s v="EXT"/>
    <n v="1"/>
  </r>
  <r>
    <n v="46"/>
    <s v="CE13"/>
    <s v="B1578"/>
    <s v="SCRAP"/>
    <s v="FM"/>
    <s v="AREA WT RELEASE"/>
    <m/>
    <s v="EXT"/>
    <n v="1"/>
  </r>
  <r>
    <n v="47"/>
    <s v="BE13"/>
    <s v="N11F3"/>
    <s v="SCRAP"/>
    <s v="LUMPY"/>
    <s v="AREA WT RELEASE"/>
    <m/>
    <s v="EXT"/>
    <n v="1"/>
  </r>
  <r>
    <n v="48"/>
    <s v="C118"/>
    <s v="G7204"/>
    <s v="OK "/>
    <s v="LENGKET"/>
    <s v="AREA WT RELEASE"/>
    <m/>
    <s v="CALCUT"/>
    <n v="1"/>
  </r>
  <r>
    <n v="49"/>
    <s v="B15"/>
    <s v="T1698"/>
    <s v="SCRAP"/>
    <s v="LUMPY"/>
    <s v="AREA WT RELEASE"/>
    <m/>
    <s v="EXT"/>
    <n v="1"/>
  </r>
  <r>
    <n v="50"/>
    <s v="B12"/>
    <s v="T4427"/>
    <s v="SCRAP"/>
    <s v="LUMPY"/>
    <s v="AREA WT RELEASE"/>
    <m/>
    <s v="EXT"/>
    <n v="1"/>
  </r>
  <r>
    <n v="51"/>
    <s v="CE12"/>
    <s v="N1785"/>
    <s v="SCRAP"/>
    <s v="LUMPY"/>
    <s v="AREA WT RELEASE"/>
    <m/>
    <s v="EXT"/>
    <n v="1"/>
  </r>
  <r>
    <n v="52"/>
    <s v="CF3"/>
    <s v="N11F3"/>
    <s v="OK "/>
    <s v="LENGKET"/>
    <s v="AREA WT RELEASE"/>
    <m/>
    <s v="EXT"/>
    <n v="1"/>
  </r>
  <r>
    <n v="53"/>
    <s v="CE1"/>
    <s v="N11F3R"/>
    <s v="SCRAP"/>
    <s v="FORMAT BENANG"/>
    <s v="AREA WT RELEASE"/>
    <m/>
    <s v="EXT"/>
    <n v="1"/>
  </r>
  <r>
    <n v="54"/>
    <s v="CE2"/>
    <s v="N11F3R"/>
    <s v="SCRAP"/>
    <s v="LUMPY (OK)"/>
    <s v="AREA WT RELEASE"/>
    <m/>
    <s v="EXT"/>
    <n v="1"/>
  </r>
  <r>
    <n v="55"/>
    <s v="BE2"/>
    <m/>
    <s v="SCRAP"/>
    <s v="LUMPY"/>
    <s v="AREA WT RELEASE"/>
    <m/>
    <s v="EXT"/>
    <n v="1"/>
  </r>
  <r>
    <n v="56"/>
    <s v="BE3"/>
    <s v="K941A"/>
    <s v="SCRAP"/>
    <s v="LUMPY"/>
    <s v="AREA WT RELEASE"/>
    <m/>
    <s v="EXT"/>
    <n v="1"/>
  </r>
  <r>
    <n v="57"/>
    <s v="CF19"/>
    <s v="N11F3"/>
    <s v="OK "/>
    <s v="LENGKET"/>
    <s v="AREA WT RELEASE"/>
    <m/>
    <s v="EXT"/>
    <n v="1"/>
  </r>
  <r>
    <n v="58"/>
    <s v="OTR"/>
    <s v="T97F1"/>
    <s v="OK "/>
    <s v="SEBAGAI OS T16R5"/>
    <s v="AREA WT RELEASE"/>
    <d v="2026-06-23T00:00:00"/>
    <s v="MIXING "/>
    <n v="1"/>
  </r>
  <r>
    <n v="59"/>
    <s v="OTR"/>
    <s v="K941A"/>
    <s v="SCRAP"/>
    <s v="LUMPY"/>
    <s v="AREA WT RELEASE"/>
    <m/>
    <s v="EXT"/>
    <n v="1"/>
  </r>
  <r>
    <n v="60"/>
    <s v="CF21"/>
    <s v="T4427R"/>
    <s v="SCRAP"/>
    <s v="SCRAP"/>
    <s v="AREA WT RELEASE"/>
    <m/>
    <s v="EXT"/>
    <n v="1"/>
  </r>
  <r>
    <n v="61"/>
    <s v="CF28"/>
    <s v="T1698"/>
    <s v="OK "/>
    <s v="SELEKSI"/>
    <s v="AREA WT RELEASE"/>
    <m/>
    <s v="EXT"/>
    <n v="1"/>
  </r>
  <r>
    <n v="62"/>
    <s v="B85"/>
    <s v="T4427"/>
    <s v="OK "/>
    <s v="CONGKEL &amp; RESTACKING"/>
    <s v="FIFO"/>
    <d v="2026-06-26T00:00:00"/>
    <s v="EXT"/>
    <n v="1"/>
  </r>
  <r>
    <n v="63"/>
    <s v="C85"/>
    <s v="T4427"/>
    <s v="OK "/>
    <s v="CONGKEL"/>
    <s v="FIFO"/>
    <m/>
    <s v="EXT"/>
    <n v="1"/>
  </r>
  <r>
    <n v="64"/>
    <s v="B86"/>
    <s v="B1026"/>
    <s v="OK "/>
    <s v="CONGKEL (OK)"/>
    <s v="FIFO"/>
    <d v="2026-06-24T00:00:00"/>
    <s v="EXT"/>
    <n v="1"/>
  </r>
  <r>
    <n v="65"/>
    <s v="A91"/>
    <s v="T97F1"/>
    <s v="OK "/>
    <s v="OK T16R5"/>
    <s v="FIFO"/>
    <d v="2026-06-23T00:00:00"/>
    <s v="MIXING "/>
    <n v="1"/>
  </r>
  <r>
    <n v="66"/>
    <s v="C91"/>
    <s v="SCRAP"/>
    <s v="SCRAP"/>
    <s v="SCRAP"/>
    <s v="FIFO"/>
    <m/>
    <s v="MIXING "/>
    <n v="1"/>
  </r>
  <r>
    <n v="67"/>
    <s v="B91"/>
    <s v="T167N"/>
    <s v="OK "/>
    <s v="TIMBANG &amp; KEMBALIKAN KE ASALNYA"/>
    <s v="FIFO"/>
    <m/>
    <s v="MIXING "/>
    <n v="1"/>
  </r>
  <r>
    <n v="68"/>
    <s v="A91"/>
    <s v="N1785"/>
    <s v="OK "/>
    <s v="CONGKEL &amp; PAKAI DI KITA"/>
    <s v="FIFO"/>
    <m/>
    <s v="EXT"/>
    <n v="1"/>
  </r>
  <r>
    <n v="69"/>
    <s v="B92"/>
    <s v="S003R"/>
    <s v="OK "/>
    <s v="RESTACKING"/>
    <s v="FIFO"/>
    <m/>
    <s v="MIXING "/>
    <n v="1"/>
  </r>
  <r>
    <n v="70"/>
    <s v="B93"/>
    <s v="T4427"/>
    <s v="OK "/>
    <s v="EXT"/>
    <s v="FIFO"/>
    <m/>
    <s v="EXT"/>
    <n v="1"/>
  </r>
  <r>
    <n v="71"/>
    <s v="C93"/>
    <s v="T4427"/>
    <s v="OK "/>
    <s v="EXT"/>
    <s v="FIFO"/>
    <m/>
    <s v="EXT"/>
    <n v="1"/>
  </r>
  <r>
    <n v="72"/>
    <s v="C92"/>
    <s v="K83T4"/>
    <s v="SCRAP"/>
    <s v="SCRAP"/>
    <s v="FIFO"/>
    <m/>
    <s v="EXT"/>
    <n v="1"/>
  </r>
  <r>
    <n v="73"/>
    <s v="B94"/>
    <s v="T16R5"/>
    <s v="OK "/>
    <s v="CONGKEL &amp; RESTACKING"/>
    <s v="FIFO"/>
    <m/>
    <s v="EXT"/>
    <n v="1"/>
  </r>
  <r>
    <n v="74"/>
    <s v="C94"/>
    <s v="N1785"/>
    <s v="OK "/>
    <s v="CONGKEL &amp; RESTACKING"/>
    <s v="FIFO"/>
    <d v="2026-06-24T00:00:00"/>
    <s v="EXT"/>
    <n v="1"/>
  </r>
  <r>
    <n v="75"/>
    <s v="B95"/>
    <s v="T1698"/>
    <s v="OK "/>
    <s v="CONGKEL &amp; PISAHIN"/>
    <s v="FIFO"/>
    <m/>
    <s v="EXT"/>
    <n v="1"/>
  </r>
  <r>
    <n v="76"/>
    <s v="C95"/>
    <s v="T4427"/>
    <s v="OK "/>
    <s v="CONGKEL &amp; RESTACKING"/>
    <s v="FIFO"/>
    <d v="2026-06-24T00:00:00"/>
    <s v="EXT"/>
    <n v="1"/>
  </r>
  <r>
    <n v="77"/>
    <s v="C96"/>
    <s v="T4427"/>
    <s v="OK "/>
    <s v="CONGKEL &amp; RESTACKING (EXT)"/>
    <s v="FIFO"/>
    <d v="2026-06-23T00:00:00"/>
    <s v="EXT"/>
    <n v="1"/>
  </r>
  <r>
    <n v="78"/>
    <s v="C96"/>
    <s v="N1785"/>
    <s v="OK "/>
    <s v="SEREGASI"/>
    <s v="FIFO"/>
    <m/>
    <s v="EXT"/>
    <n v="1"/>
  </r>
  <r>
    <n v="79"/>
    <s v="B119"/>
    <s v="N1785"/>
    <s v="OK "/>
    <s v="EXT"/>
    <s v="FIFO"/>
    <d v="2026-06-23T00:00:00"/>
    <s v="EXT"/>
    <n v="1"/>
  </r>
  <r>
    <n v="80"/>
    <s v="B120"/>
    <s v="T16R5"/>
    <s v="SCRAP"/>
    <s v="SCRAP"/>
    <s v="FIFO"/>
    <m/>
    <s v="EXT"/>
    <n v="1"/>
  </r>
  <r>
    <n v="81"/>
    <s v="B118"/>
    <m/>
    <s v="OK "/>
    <s v="RESTACKING"/>
    <s v="FIFO"/>
    <m/>
    <s v="EXT"/>
    <n v="1"/>
  </r>
  <r>
    <n v="82"/>
    <s v="C118"/>
    <s v="WSWR"/>
    <s v="SCRAP"/>
    <s v="G (SCRAP)"/>
    <s v="FIFO"/>
    <m/>
    <s v="MIXING "/>
    <n v="1"/>
  </r>
  <r>
    <n v="83"/>
    <s v="B119"/>
    <s v="N1785"/>
    <s v="SCRAP"/>
    <s v="SCRAP"/>
    <s v="FIFO"/>
    <d v="2026-06-25T00:00:00"/>
    <s v="EXT"/>
    <n v="1"/>
  </r>
  <r>
    <n v="84"/>
    <s v="C120"/>
    <s v="WSWR"/>
    <s v="SCRAP"/>
    <s v="SCRAP (COBA GILING EXT)"/>
    <s v="FIFO"/>
    <m/>
    <s v="MIXING "/>
    <n v="1"/>
  </r>
  <r>
    <n v="85"/>
    <s v="LUAR RAK"/>
    <s v="S6A93"/>
    <s v="SCRAP"/>
    <s v="SCRAP"/>
    <s v="FIFO"/>
    <m/>
    <s v="MIXING "/>
    <n v="1"/>
  </r>
  <r>
    <n v="86"/>
    <s v="C39"/>
    <s v="T4427"/>
    <s v="OK "/>
    <s v="EXT"/>
    <s v="FIFO"/>
    <d v="2026-06-25T00:00:00"/>
    <s v="EXT"/>
    <n v="1"/>
  </r>
  <r>
    <n v="87"/>
    <s v="C38"/>
    <s v="S7852R"/>
    <s v="OK "/>
    <s v="ATAS PISAHIN (MASTERBATCH)"/>
    <s v="FIFO"/>
    <m/>
    <s v="MIXING "/>
    <n v="1"/>
  </r>
  <r>
    <n v="88"/>
    <s v="C37"/>
    <s v="N11F3"/>
    <s v="OK "/>
    <s v="RESTACKING"/>
    <s v="FIFO"/>
    <m/>
    <s v="EXT"/>
    <n v="1"/>
  </r>
  <r>
    <n v="89"/>
    <s v="B39"/>
    <s v="F1082"/>
    <s v="SCRAP"/>
    <s v="SCRAP"/>
    <s v="FIFO"/>
    <m/>
    <s v="CALCUT"/>
    <n v="1"/>
  </r>
  <r>
    <n v="90"/>
    <m/>
    <s v="T1698"/>
    <s v="OK "/>
    <s v="SEGREASI PISAHIN (AREA RESTACK)"/>
    <s v="FIFO"/>
    <m/>
    <s v="EXT"/>
    <n v="1"/>
  </r>
  <r>
    <n v="91"/>
    <s v="A37"/>
    <s v="T1698"/>
    <s v="SCRAP"/>
    <s v="SCRAP"/>
    <s v="FIFO"/>
    <m/>
    <s v="EXT"/>
    <n v="1"/>
  </r>
  <r>
    <n v="92"/>
    <s v="A38"/>
    <s v="CAMPURAN"/>
    <s v="SCRAP"/>
    <s v="SCRAP"/>
    <s v="FIFO"/>
    <m/>
    <s v="MIXING "/>
    <n v="1"/>
  </r>
  <r>
    <n v="93"/>
    <s v="B37"/>
    <s v="S7852R"/>
    <s v="OK "/>
    <s v="SEREGASI"/>
    <s v="FIFO"/>
    <m/>
    <s v="MIXING "/>
    <n v="1"/>
  </r>
  <r>
    <n v="94"/>
    <s v="A36"/>
    <s v="S7852R"/>
    <s v="SCRAP"/>
    <s v="SCRAP"/>
    <s v="FIFO"/>
    <m/>
    <s v="MIXING "/>
    <n v="1"/>
  </r>
  <r>
    <n v="95"/>
    <s v="A35"/>
    <s v="T1698"/>
    <s v="OK "/>
    <s v="SEREGASI"/>
    <s v="FIFO"/>
    <m/>
    <s v="EXT"/>
    <n v="1"/>
  </r>
  <r>
    <n v="96"/>
    <s v="A34"/>
    <s v="T1698"/>
    <s v="SCRAP"/>
    <s v="SCRAP (COBA GILING EXT)"/>
    <s v="FIFO"/>
    <m/>
    <s v="EXT"/>
    <n v="1"/>
  </r>
  <r>
    <n v="97"/>
    <s v="C36"/>
    <s v="S003R"/>
    <s v="OK "/>
    <s v="PAKAI CLEANER"/>
    <s v="FIFO"/>
    <m/>
    <s v="MIXING "/>
    <n v="1"/>
  </r>
  <r>
    <n v="98"/>
    <s v="B34"/>
    <s v="T1698"/>
    <s v="OK "/>
    <s v="CONGKEL"/>
    <s v="FIFO"/>
    <d v="2026-06-23T00:00:00"/>
    <s v="EXT"/>
    <n v="1"/>
  </r>
  <r>
    <n v="99"/>
    <s v="C34"/>
    <s v="T1698"/>
    <s v="OK "/>
    <s v="CONGKEL"/>
    <s v="FIFO"/>
    <m/>
    <s v="EXT"/>
    <n v="1"/>
  </r>
  <r>
    <n v="100"/>
    <s v="B35"/>
    <s v="S7852R"/>
    <s v="OK "/>
    <s v="RESTACKING"/>
    <s v="FIFO"/>
    <m/>
    <s v="MIXING "/>
    <n v="1"/>
  </r>
  <r>
    <n v="101"/>
    <s v="C35"/>
    <s v="N11F3"/>
    <s v="SCRAP"/>
    <s v="SCRAP"/>
    <s v="FIFO"/>
    <m/>
    <s v="EXT"/>
    <n v="1"/>
  </r>
  <r>
    <n v="102"/>
    <s v="B36"/>
    <s v="S7351"/>
    <s v="OK "/>
    <s v="CONGKEL"/>
    <s v="FIFO"/>
    <m/>
    <s v="MIXING "/>
    <n v="1"/>
  </r>
  <r>
    <n v="103"/>
    <s v="C33"/>
    <s v="N1785"/>
    <s v="SCRAP"/>
    <s v="SCRAP"/>
    <s v="FIFO"/>
    <m/>
    <s v="EXT"/>
    <n v="1"/>
  </r>
  <r>
    <n v="104"/>
    <s v="B33"/>
    <s v="N11F3R"/>
    <s v="SCRAP"/>
    <s v="SCRAP"/>
    <s v="FIFO"/>
    <m/>
    <s v="EXT"/>
    <n v="1"/>
  </r>
  <r>
    <n v="105"/>
    <s v="C30"/>
    <s v="S003R"/>
    <s v="OK "/>
    <s v="OK (REMILL)"/>
    <s v="FIFO"/>
    <m/>
    <s v="MIXING "/>
    <n v="1"/>
  </r>
  <r>
    <n v="106"/>
    <s v="B29"/>
    <s v="S003R"/>
    <s v="OK "/>
    <s v="SEREGASI"/>
    <s v="FIFO"/>
    <m/>
    <s v="MIXING "/>
    <n v="1"/>
  </r>
  <r>
    <n v="107"/>
    <s v="C29"/>
    <s v="N1785"/>
    <s v="OK "/>
    <s v="RESTACKING"/>
    <s v="FIFO"/>
    <m/>
    <s v="EXT"/>
    <n v="1"/>
  </r>
  <r>
    <n v="108"/>
    <s v="A31"/>
    <s v="N1785"/>
    <s v="OK "/>
    <s v="RESTACKING"/>
    <s v="FIFO"/>
    <m/>
    <s v="EXT"/>
    <n v="1"/>
  </r>
  <r>
    <n v="109"/>
    <s v="A33"/>
    <s v="CAMPURAN"/>
    <s v="SCRAP"/>
    <s v="SCRAP"/>
    <s v="FIFO"/>
    <m/>
    <s v="MIXING "/>
    <n v="1"/>
  </r>
  <r>
    <n v="110"/>
    <s v="B32"/>
    <s v="NO. ID"/>
    <s v="SCRAP"/>
    <s v="LUMPY SCRAP"/>
    <s v="FIFO"/>
    <m/>
    <s v="MIXING "/>
    <n v="1"/>
  </r>
  <r>
    <n v="111"/>
    <s v="A29"/>
    <s v="S7852R"/>
    <s v="OK "/>
    <s v="POTONG-POTONG"/>
    <s v="FIFO"/>
    <m/>
    <s v="MIXING "/>
    <n v="1"/>
  </r>
  <r>
    <n v="112"/>
    <s v="LANTAI"/>
    <s v="K16V5"/>
    <s v="OK "/>
    <s v="DISPOSISI"/>
    <s v="FIFO"/>
    <m/>
    <s v="EXT"/>
    <n v="1"/>
  </r>
  <r>
    <n v="113"/>
    <s v="A28"/>
    <s v="NO. ID"/>
    <s v="SCRAP"/>
    <s v="SCRAP"/>
    <s v="FIFO"/>
    <m/>
    <s v="MIXING "/>
    <n v="1"/>
  </r>
  <r>
    <n v="114"/>
    <s v="A26"/>
    <s v="S7851"/>
    <s v="OK "/>
    <s v="POTONG-POTONG"/>
    <s v="FIFO"/>
    <d v="2026-06-23T00:00:00"/>
    <s v="MIXING "/>
    <n v="1"/>
  </r>
  <r>
    <n v="115"/>
    <s v="A27"/>
    <s v="F7894"/>
    <s v="SCRAP"/>
    <s v="SCRAP"/>
    <s v="FIFO"/>
    <m/>
    <s v="CALCUT"/>
    <n v="1"/>
  </r>
  <r>
    <n v="116"/>
    <s v="A25"/>
    <s v="S7852R"/>
    <s v="OK "/>
    <s v="SEREGASI"/>
    <s v="FIFO"/>
    <m/>
    <s v="MIXING "/>
    <n v="1"/>
  </r>
  <r>
    <n v="117"/>
    <s v="C27"/>
    <s v="N1785"/>
    <s v="SCRAP"/>
    <s v="SCRAP"/>
    <s v="FIFO"/>
    <m/>
    <s v="EXT"/>
    <n v="1"/>
  </r>
  <r>
    <n v="118"/>
    <s v="A24"/>
    <s v="S888R"/>
    <s v="SCRAP"/>
    <s v="SCRAP"/>
    <s v="FIFO"/>
    <m/>
    <s v="MIXING "/>
    <n v="1"/>
  </r>
  <r>
    <n v="119"/>
    <s v="A23"/>
    <s v="S888R"/>
    <s v="OK "/>
    <s v="RESTACKING"/>
    <s v="FIFO"/>
    <m/>
    <s v="MIXING "/>
    <n v="1"/>
  </r>
  <r>
    <n v="120"/>
    <s v="A22"/>
    <s v="K96H6"/>
    <s v="SCRAP"/>
    <s v="SCRAP"/>
    <s v="FIFO"/>
    <m/>
    <s v="EXT"/>
    <n v="1"/>
  </r>
  <r>
    <n v="121"/>
    <s v="A21"/>
    <s v="N1785"/>
    <s v="OK "/>
    <s v="SEGREASI PISAHIN "/>
    <s v="FIFO"/>
    <m/>
    <s v="EXT"/>
    <n v="1"/>
  </r>
  <r>
    <n v="122"/>
    <s v="A20"/>
    <s v="N1785"/>
    <s v="SCRAP"/>
    <s v="SCRAP"/>
    <s v="FIFO"/>
    <m/>
    <s v="EXT"/>
    <n v="1"/>
  </r>
  <r>
    <n v="123"/>
    <s v="A18"/>
    <s v="T1698"/>
    <s v="SCRAP"/>
    <s v="SCRAP"/>
    <s v="FIFO"/>
    <m/>
    <s v="EXT"/>
    <n v="1"/>
  </r>
  <r>
    <n v="124"/>
    <s v="A17"/>
    <s v="NO ID"/>
    <s v="SCRAP"/>
    <s v="SCRAP"/>
    <s v="FIFO"/>
    <m/>
    <s v="EXT"/>
    <n v="1"/>
  </r>
  <r>
    <n v="125"/>
    <s v="A16"/>
    <s v="N1785"/>
    <s v="OK "/>
    <s v="RESTACKING"/>
    <s v="FIFO"/>
    <m/>
    <s v="EXT"/>
    <n v="1"/>
  </r>
  <r>
    <n v="126"/>
    <s v="A14"/>
    <s v="G7204"/>
    <s v="OK "/>
    <s v="PISAHIN"/>
    <s v="FIFO"/>
    <m/>
    <s v="CALCUT"/>
    <n v="1"/>
  </r>
  <r>
    <n v="127"/>
    <s v="A15"/>
    <s v="S888R"/>
    <s v="SCRAP"/>
    <s v="SCRAP"/>
    <s v="FIFO"/>
    <m/>
    <s v="MIXING "/>
    <n v="1"/>
  </r>
  <r>
    <n v="128"/>
    <s v="A13"/>
    <s v="N11F3"/>
    <s v="OK "/>
    <s v="JADIIN OS"/>
    <s v="FIFO"/>
    <m/>
    <s v="EXT"/>
    <n v="1"/>
  </r>
  <r>
    <n v="129"/>
    <s v="A12"/>
    <s v="N1785"/>
    <s v="OK "/>
    <s v="JADIIN OS"/>
    <s v="FIFO"/>
    <m/>
    <s v="EXT"/>
    <n v="1"/>
  </r>
  <r>
    <n v="130"/>
    <n v="130"/>
    <s v="K96H6"/>
    <s v="OK "/>
    <s v="RESTACKING"/>
    <s v="FIFO"/>
    <d v="2026-06-23T00:00:00"/>
    <s v="EXT"/>
    <n v="1"/>
  </r>
  <r>
    <n v="131"/>
    <s v="A11"/>
    <s v="S003R"/>
    <s v="OK "/>
    <s v="REMILL"/>
    <s v="FIFO"/>
    <m/>
    <s v="MIXING "/>
    <n v="1"/>
  </r>
  <r>
    <n v="132"/>
    <s v="A9"/>
    <s v="CAMPURAN"/>
    <s v="SCRAP"/>
    <s v="SCRAP"/>
    <s v="FIFO"/>
    <m/>
    <s v="MIXING "/>
    <n v="1"/>
  </r>
  <r>
    <n v="133"/>
    <s v="A7"/>
    <s v="N11F3"/>
    <s v="SCRAP"/>
    <s v="SCRAP"/>
    <s v="FIFO"/>
    <m/>
    <s v="EXT"/>
    <n v="1"/>
  </r>
  <r>
    <n v="134"/>
    <s v="A8"/>
    <s v="B1578"/>
    <s v="OK "/>
    <s v="RESTACKING"/>
    <s v="FIFO"/>
    <d v="2026-06-23T00:00:00"/>
    <s v="CALCUT"/>
    <n v="1"/>
  </r>
  <r>
    <n v="135"/>
    <s v="C32"/>
    <s v="N1785"/>
    <s v="OK "/>
    <s v="REMILL"/>
    <s v="FIFO"/>
    <m/>
    <s v="EXT"/>
    <n v="1"/>
  </r>
  <r>
    <n v="136"/>
    <s v="B32"/>
    <s v="N1785"/>
    <s v="OK "/>
    <s v="RESTACKING"/>
    <s v="FIFO"/>
    <m/>
    <s v="EXT"/>
    <n v="1"/>
  </r>
  <r>
    <n v="137"/>
    <s v="C31"/>
    <s v="S003R"/>
    <s v="OK "/>
    <s v="RESTACKING"/>
    <s v="FIFO"/>
    <d v="2026-06-24T00:00:00"/>
    <s v="MIXING "/>
    <n v="1"/>
  </r>
  <r>
    <n v="138"/>
    <s v="B31"/>
    <s v="T4427"/>
    <s v="OK "/>
    <s v="POTONG-POTONG"/>
    <s v="FIFO"/>
    <m/>
    <s v="EXT"/>
    <n v="1"/>
  </r>
  <r>
    <n v="139"/>
    <s v="C28"/>
    <s v="S003R"/>
    <s v="OK "/>
    <s v="SEBAGAI LAST NP 10 KG T16R5"/>
    <s v="FIFO"/>
    <m/>
    <s v="MIXING "/>
    <n v="1"/>
  </r>
  <r>
    <n v="140"/>
    <s v="C26"/>
    <s v="T1698"/>
    <s v="OK "/>
    <s v="CONGKEL"/>
    <s v="FIFO"/>
    <m/>
    <s v="EXT"/>
    <n v="1"/>
  </r>
  <r>
    <n v="141"/>
    <s v="B25"/>
    <s v="K269A"/>
    <s v="SCRAP"/>
    <s v="SCRAP"/>
    <s v="FIFO"/>
    <m/>
    <s v="EXT"/>
    <n v="1"/>
  </r>
  <r>
    <n v="142"/>
    <s v="C25"/>
    <s v="S003R"/>
    <s v="OK "/>
    <s v="REMILL"/>
    <s v="FIFO"/>
    <m/>
    <s v="MIXING "/>
    <n v="1"/>
  </r>
  <r>
    <n v="143"/>
    <s v="B27"/>
    <s v="NO ID"/>
    <s v="OK "/>
    <s v="RESTACKING"/>
    <s v="FIFO"/>
    <d v="2026-06-23T00:00:00"/>
    <s v="MIXING "/>
    <n v="1"/>
  </r>
  <r>
    <n v="144"/>
    <s v="B24"/>
    <s v="S003R"/>
    <s v="OK "/>
    <s v="PISAHIN"/>
    <s v="FIFO"/>
    <m/>
    <s v="MIXING "/>
    <n v="1"/>
  </r>
  <r>
    <n v="145"/>
    <s v="C24"/>
    <s v="NO.ID"/>
    <s v="OK "/>
    <s v="RESTACKING"/>
    <s v="FIFO"/>
    <m/>
    <s v="MIXING "/>
    <n v="1"/>
  </r>
  <r>
    <n v="146"/>
    <s v="C23"/>
    <s v="N11F3"/>
    <s v="SCRAP"/>
    <s v="SCRAP"/>
    <s v="FIFO"/>
    <m/>
    <s v="EXT"/>
    <n v="1"/>
  </r>
  <r>
    <n v="147"/>
    <s v="B22"/>
    <s v="S7852R"/>
    <s v="OK "/>
    <s v="CONGKEL"/>
    <s v="FIFO"/>
    <m/>
    <s v="MIXING "/>
    <n v="1"/>
  </r>
  <r>
    <n v="148"/>
    <s v="C22"/>
    <s v="NO.ID"/>
    <s v="OK "/>
    <s v="PISAHIN"/>
    <s v="FIFO"/>
    <m/>
    <s v="MIXING "/>
    <n v="1"/>
  </r>
  <r>
    <n v="149"/>
    <s v="C21"/>
    <s v="N1785"/>
    <s v="OK "/>
    <s v="PISAHIN"/>
    <s v="FIFO"/>
    <m/>
    <s v="EXT"/>
    <n v="1"/>
  </r>
  <r>
    <n v="150"/>
    <s v="B21"/>
    <s v="N11F3"/>
    <s v="OK "/>
    <s v="GILING DI EXT"/>
    <s v="FIFO"/>
    <m/>
    <s v="EXT"/>
    <n v="1"/>
  </r>
  <r>
    <n v="151"/>
    <s v="B20"/>
    <s v="NO.ID"/>
    <s v="OK "/>
    <s v="RESTACKING"/>
    <s v="FIFO"/>
    <m/>
    <s v="MIXING "/>
    <n v="1"/>
  </r>
  <r>
    <n v="152"/>
    <s v="C20"/>
    <s v="S888R"/>
    <s v="OK "/>
    <s v="CONGKEL"/>
    <s v="FIFO"/>
    <m/>
    <s v="MIXING "/>
    <n v="1"/>
  </r>
  <r>
    <n v="153"/>
    <s v="C19"/>
    <s v="S888R"/>
    <s v="OK "/>
    <s v="PISAHIN"/>
    <s v="FIFO"/>
    <m/>
    <s v="MIXING "/>
    <n v="1"/>
  </r>
  <r>
    <n v="154"/>
    <s v="B18"/>
    <s v="T1698"/>
    <s v="SCRAP"/>
    <s v="SCRAP"/>
    <s v="FIFO"/>
    <m/>
    <s v="EXT"/>
    <n v="1"/>
  </r>
  <r>
    <n v="155"/>
    <s v="C18"/>
    <s v="N11F3"/>
    <s v="SCRAP"/>
    <s v="SCRAP"/>
    <s v="FIFO"/>
    <d v="2026-06-24T00:00:00"/>
    <s v="MIXING "/>
    <n v="1"/>
  </r>
  <r>
    <n v="156"/>
    <s v="C17"/>
    <s v="F740A"/>
    <s v="OK "/>
    <s v="PISAHIN"/>
    <s v="FIFO"/>
    <m/>
    <s v="CALCUT"/>
    <n v="1"/>
  </r>
  <r>
    <n v="157"/>
    <s v="B17"/>
    <s v="S003R"/>
    <s v="SCRAP"/>
    <s v="SCRAP"/>
    <s v="FIFO"/>
    <m/>
    <s v="MIXING "/>
    <n v="1"/>
  </r>
  <r>
    <n v="158"/>
    <s v="B16"/>
    <s v="S003R"/>
    <s v="SCRAP"/>
    <s v="SCRAP"/>
    <s v="FIFO"/>
    <m/>
    <s v="MIXING "/>
    <n v="1"/>
  </r>
  <r>
    <n v="159"/>
    <s v="C15"/>
    <s v="N11F3"/>
    <s v="OK "/>
    <s v="GILING DI EXT"/>
    <s v="FIFO"/>
    <m/>
    <s v="CALCUT"/>
    <n v="1"/>
  </r>
  <r>
    <n v="160"/>
    <s v="B15"/>
    <s v="NO. ID"/>
    <s v="SCRAP"/>
    <s v="SCRAP"/>
    <s v="FIFO"/>
    <d v="2026-06-24T00:00:00"/>
    <s v="MIXING "/>
    <n v="1"/>
  </r>
  <r>
    <n v="161"/>
    <s v="B13"/>
    <s v="S003R"/>
    <s v="OK "/>
    <s v="RESTACKING"/>
    <s v="FIFO"/>
    <m/>
    <s v="MIXING "/>
    <n v="1"/>
  </r>
  <r>
    <n v="162"/>
    <s v="C14"/>
    <s v="NO. ID"/>
    <s v="OK "/>
    <s v="PISAHIN"/>
    <s v="FIFO"/>
    <m/>
    <s v="MIXING "/>
    <n v="1"/>
  </r>
  <r>
    <n v="163"/>
    <s v="C13"/>
    <s v="N11F3"/>
    <s v="SCRAP"/>
    <s v="SCRAP"/>
    <s v="FIFO"/>
    <m/>
    <s v="EXT"/>
    <n v="1"/>
  </r>
  <r>
    <n v="164"/>
    <s v="B14"/>
    <s v="S003R"/>
    <s v="OK "/>
    <s v="REMILL"/>
    <s v="FIFO"/>
    <m/>
    <s v="MIXING "/>
    <n v="1"/>
  </r>
  <r>
    <n v="165"/>
    <s v="C12"/>
    <s v="S003R"/>
    <s v="OK "/>
    <s v="SEBAGAI NOLO LAST RUN S6R51"/>
    <s v="FIFO"/>
    <m/>
    <s v="MIXING "/>
    <n v="1"/>
  </r>
  <r>
    <n v="166"/>
    <s v="C11"/>
    <s v="S003R"/>
    <s v="OK "/>
    <s v="PISAHIN"/>
    <s v="FIFO"/>
    <m/>
    <s v="MIXING "/>
    <n v="1"/>
  </r>
  <r>
    <n v="167"/>
    <s v="C10"/>
    <s v="NO. ID"/>
    <s v="SCRAP"/>
    <s v="SCRAP"/>
    <s v="FIFO"/>
    <d v="2026-06-24T00:00:00"/>
    <s v="MIXING "/>
    <n v="1"/>
  </r>
  <r>
    <n v="168"/>
    <s v="B12"/>
    <s v="N11F3"/>
    <s v="SCRAP"/>
    <s v="SCRAP"/>
    <s v="FIFO"/>
    <m/>
    <s v="EXT"/>
    <n v="1"/>
  </r>
  <r>
    <n v="169"/>
    <s v="B11"/>
    <s v="S003R"/>
    <s v="OK "/>
    <s v="RESTACKING"/>
    <s v="FIFO"/>
    <m/>
    <s v="MIXING "/>
    <n v="1"/>
  </r>
  <r>
    <n v="170"/>
    <s v="B10"/>
    <s v="NO.ID"/>
    <s v="OK "/>
    <s v="RESTACKING F740A ODS"/>
    <s v="FIFO"/>
    <m/>
    <s v="MIXING "/>
    <n v="1"/>
  </r>
  <r>
    <n v="171"/>
    <s v="B9"/>
    <s v="S003R"/>
    <s v="OK "/>
    <s v="OK PAKE"/>
    <s v="FIFO"/>
    <m/>
    <s v="MIXING "/>
    <n v="1"/>
  </r>
  <r>
    <n v="172"/>
    <s v="B8"/>
    <s v="N1785"/>
    <s v="OK "/>
    <s v="PISAHIN"/>
    <s v="FIFO"/>
    <m/>
    <s v="EXT"/>
    <n v="1"/>
  </r>
  <r>
    <n v="173"/>
    <s v="C9"/>
    <s v="S003R"/>
    <s v="OK "/>
    <s v="PISAHIN"/>
    <s v="FIFO"/>
    <m/>
    <s v="MIXING "/>
    <n v="1"/>
  </r>
  <r>
    <n v="174"/>
    <s v="C7"/>
    <s v="S003R"/>
    <s v="OK "/>
    <s v="RESTACKING"/>
    <s v="FIFO"/>
    <m/>
    <s v="MIXING "/>
    <n v="1"/>
  </r>
  <r>
    <n v="175"/>
    <s v="B7"/>
    <s v="S003R"/>
    <s v="OK "/>
    <s v="OK CKEANER"/>
    <s v="FIFO"/>
    <m/>
    <s v="MIXING "/>
    <n v="1"/>
  </r>
  <r>
    <n v="176"/>
    <s v="C128"/>
    <s v="S003R"/>
    <s v="OK "/>
    <s v="CLEANER BB2"/>
    <s v="FIFO"/>
    <m/>
    <s v="MIXING "/>
    <n v="1"/>
  </r>
  <r>
    <n v="177"/>
    <s v="RAK MERAH"/>
    <s v="WSWR"/>
    <s v="SCRAP"/>
    <s v="SCRAP"/>
    <s v="FIFO "/>
    <m/>
    <s v="MIXING "/>
    <n v="1"/>
  </r>
  <r>
    <n v="178"/>
    <s v="RAK MERAH"/>
    <s v="WSWR"/>
    <s v="SCRAP"/>
    <s v="SCRAP"/>
    <s v="FIFO "/>
    <m/>
    <s v="MIXING "/>
    <n v="1"/>
  </r>
  <r>
    <n v="179"/>
    <s v="RAK MERAH"/>
    <s v="WSWR"/>
    <s v="SCRAP"/>
    <s v="SCRAP"/>
    <s v="FIFO "/>
    <m/>
    <s v="MIXING "/>
    <n v="1"/>
  </r>
  <r>
    <n v="180"/>
    <s v="RAK MERAH"/>
    <s v="WSWR"/>
    <s v="SCRAP"/>
    <s v="SCRAP"/>
    <s v="FIFO "/>
    <m/>
    <s v="MIXING "/>
    <n v="1"/>
  </r>
  <r>
    <n v="181"/>
    <s v="RAK MERAH"/>
    <s v="WSWR"/>
    <s v="SCRAP"/>
    <s v="SCRAP"/>
    <s v="FIFO "/>
    <m/>
    <s v="MIXING "/>
    <n v="1"/>
  </r>
  <r>
    <n v="182"/>
    <s v="RAK MERAH"/>
    <s v="WSWR"/>
    <s v="SCRAP"/>
    <s v="SCRAP"/>
    <s v="FIFO "/>
    <m/>
    <s v="MIXING "/>
    <n v="1"/>
  </r>
  <r>
    <n v="183"/>
    <s v="RAK MERAH"/>
    <s v="WSWR"/>
    <s v="SCRAP"/>
    <s v="SCRAP"/>
    <s v="FIFO "/>
    <m/>
    <s v="MIXING "/>
    <n v="1"/>
  </r>
  <r>
    <n v="184"/>
    <s v="RAK MERAH"/>
    <s v="WSWR"/>
    <s v="SCRAP"/>
    <s v="SCRAP"/>
    <s v="FIFO "/>
    <m/>
    <s v="MIXING "/>
    <n v="1"/>
  </r>
  <r>
    <n v="185"/>
    <s v="RAK MERAH"/>
    <s v="WSWR"/>
    <s v="SCRAP"/>
    <s v="SCRAP"/>
    <s v="FIFO "/>
    <m/>
    <s v="MIXING "/>
    <n v="1"/>
  </r>
  <r>
    <n v="186"/>
    <s v="RAK MERAH"/>
    <s v="F7894"/>
    <s v="SCRAP"/>
    <s v="SCRAP"/>
    <s v="FIFO "/>
    <m/>
    <s v="MIXING "/>
    <n v="1"/>
  </r>
  <r>
    <n v="187"/>
    <s v="RAK MERAH"/>
    <s v="F7894"/>
    <s v="SCRAP"/>
    <s v="SCRAP"/>
    <s v="FIFO "/>
    <m/>
    <s v="MIXING "/>
    <n v="1"/>
  </r>
  <r>
    <n v="188"/>
    <s v="RAK MERAH"/>
    <s v="F7894"/>
    <s v="SCRAP"/>
    <s v="SCRAP"/>
    <s v="FIFO "/>
    <m/>
    <s v="MIXING "/>
    <n v="1"/>
  </r>
  <r>
    <n v="189"/>
    <s v="RAK MERAH"/>
    <s v="F7894"/>
    <s v="SCRAP"/>
    <s v="SCRAP"/>
    <s v="FIFO "/>
    <m/>
    <s v="MIXING "/>
    <n v="1"/>
  </r>
  <r>
    <n v="190"/>
    <s v="RAK MERAH"/>
    <s v="F7894"/>
    <s v="SCRAP"/>
    <s v="SCRAP"/>
    <s v="FIFO "/>
    <m/>
    <s v="MIXING "/>
    <n v="1"/>
  </r>
  <r>
    <n v="191"/>
    <s v="RAK MERAH"/>
    <s v="F7894"/>
    <s v="SCRAP"/>
    <s v="SCRAP"/>
    <s v="FIFO "/>
    <m/>
    <s v="MIXING "/>
    <n v="1"/>
  </r>
  <r>
    <n v="192"/>
    <s v="RAK MERAH"/>
    <s v="F7894"/>
    <s v="SCRAP"/>
    <s v="SCRAP"/>
    <s v="FIFO "/>
    <m/>
    <s v="CALCUT"/>
    <n v="1"/>
  </r>
  <r>
    <n v="193"/>
    <s v="RAK MERAH"/>
    <s v="F7894"/>
    <s v="SCRAP"/>
    <s v="SCRAP"/>
    <s v="FIFO "/>
    <m/>
    <s v="CALCUT"/>
    <n v="1"/>
  </r>
  <r>
    <n v="194"/>
    <s v="RAK MERAH"/>
    <s v="F7894"/>
    <s v="SCRAP"/>
    <s v="SCRAP"/>
    <s v="FIFO "/>
    <m/>
    <s v="CALCUT"/>
    <n v="1"/>
  </r>
  <r>
    <n v="195"/>
    <s v="RAK MERAH"/>
    <s v="F7894"/>
    <s v="SCRAP"/>
    <s v="SCRAP"/>
    <s v="FIFO "/>
    <m/>
    <s v="CALCUT"/>
    <n v="1"/>
  </r>
  <r>
    <n v="196"/>
    <s v="RAK MERAH"/>
    <s v="F7894"/>
    <s v="SCRAP"/>
    <s v="SCRAP"/>
    <s v="FIFO "/>
    <m/>
    <s v="CALCUT"/>
    <n v="1"/>
  </r>
  <r>
    <n v="197"/>
    <s v="RAK MERAH"/>
    <s v="S888R"/>
    <s v="SCRAP"/>
    <s v="SCRAP"/>
    <s v="FIFO "/>
    <m/>
    <s v="MIXING "/>
    <n v="1"/>
  </r>
  <r>
    <n v="198"/>
    <s v="RAK MERAH"/>
    <s v="S888R"/>
    <s v="SCRAP"/>
    <s v="SCRAP"/>
    <s v="FIFO "/>
    <m/>
    <s v="MIXING "/>
    <n v="1"/>
  </r>
  <r>
    <n v="199"/>
    <s v="RAK MERAH"/>
    <s v="S888R"/>
    <s v="SCRAP"/>
    <s v="SCRAP"/>
    <s v="FIFO "/>
    <m/>
    <s v="MIXING "/>
    <n v="1"/>
  </r>
  <r>
    <n v="200"/>
    <s v="RAK MERAH"/>
    <s v="S888R"/>
    <s v="SCRAP"/>
    <s v="SCRAP"/>
    <s v="FIFO "/>
    <m/>
    <s v="MIXING "/>
    <n v="1"/>
  </r>
  <r>
    <n v="201"/>
    <s v="RAK MERAH"/>
    <s v="S888R"/>
    <s v="SCRAP"/>
    <s v="SCRAP"/>
    <s v="FIFO "/>
    <m/>
    <s v="MIXING "/>
    <n v="1"/>
  </r>
  <r>
    <n v="202"/>
    <s v="RAK MERAH"/>
    <s v="S888R"/>
    <s v="SCRAP"/>
    <s v="SCRAP"/>
    <s v="FIFO "/>
    <m/>
    <s v="MIXING "/>
    <n v="1"/>
  </r>
  <r>
    <n v="203"/>
    <s v="RAK MERAH"/>
    <s v="S888R"/>
    <s v="SCRAP"/>
    <s v="SCRAP"/>
    <s v="FIFO "/>
    <m/>
    <s v="MIXING "/>
    <n v="1"/>
  </r>
  <r>
    <n v="204"/>
    <s v="RAK MERAH"/>
    <s v="S888R"/>
    <s v="SCRAP"/>
    <s v="SCRAP"/>
    <s v="FIFO "/>
    <m/>
    <s v="MIXING "/>
    <n v="1"/>
  </r>
  <r>
    <n v="205"/>
    <s v="RAK MERAH"/>
    <s v="S888R"/>
    <s v="SCRAP"/>
    <s v="SCRAP"/>
    <s v="FIFO "/>
    <m/>
    <s v="MIXING "/>
    <n v="1"/>
  </r>
  <r>
    <n v="206"/>
    <s v="RAK MERAH"/>
    <s v="WSWR"/>
    <s v="SCRAP"/>
    <s v="SCRAP"/>
    <s v="FIFO "/>
    <m/>
    <s v="MIXING "/>
    <n v="1"/>
  </r>
  <r>
    <n v="207"/>
    <s v="RAK MERAH"/>
    <s v="WSWR"/>
    <s v="SCRAP"/>
    <s v="SCRAP"/>
    <s v="FIFO "/>
    <m/>
    <s v="MIXING "/>
    <n v="1"/>
  </r>
  <r>
    <n v="208"/>
    <s v="RAK MERAH"/>
    <s v="WSWR"/>
    <s v="SCRAP"/>
    <s v="SCRAP"/>
    <s v="FIFO "/>
    <m/>
    <s v="MIXING "/>
    <n v="1"/>
  </r>
  <r>
    <n v="209"/>
    <s v="RAK MERAH"/>
    <s v="WSWR"/>
    <s v="SCRAP"/>
    <s v="SCRAP"/>
    <s v="FIFO "/>
    <m/>
    <s v="MIXING "/>
    <n v="1"/>
  </r>
  <r>
    <n v="210"/>
    <s v="RAK MERAH"/>
    <s v="WSWR"/>
    <s v="SCRAP"/>
    <s v="SCRAP"/>
    <s v="FIFO "/>
    <m/>
    <s v="MIXING "/>
    <n v="1"/>
  </r>
  <r>
    <n v="211"/>
    <s v="RAK MERAH"/>
    <s v="WSWR"/>
    <s v="SCRAP"/>
    <s v="SCRAP"/>
    <s v="FIFO "/>
    <m/>
    <s v="MIXING "/>
    <n v="1"/>
  </r>
  <r>
    <n v="212"/>
    <s v="RAK MERAH"/>
    <s v="n5843"/>
    <s v="SCRAP"/>
    <s v="SCRAP"/>
    <s v="FIFO "/>
    <m/>
    <s v="MIXING "/>
    <n v="1"/>
  </r>
  <r>
    <n v="213"/>
    <s v="LANTAI"/>
    <s v="N1785"/>
    <s v="SCRAP"/>
    <s v="SCRAP"/>
    <s v="SAMPING LAYDOWN BB2"/>
    <m/>
    <s v="EXT"/>
    <n v="1"/>
  </r>
  <r>
    <n v="214"/>
    <s v="LANTAI"/>
    <s v="N1785"/>
    <s v="SCRAP"/>
    <s v="SCRAP"/>
    <s v="SAMPING LAYDOWN BB2"/>
    <m/>
    <s v="EXT"/>
    <n v="1"/>
  </r>
  <r>
    <n v="215"/>
    <s v="LANTAI"/>
    <s v="T4427"/>
    <s v="OK "/>
    <s v="RESTACKING"/>
    <s v="DEPAN LAYDOWN BB2"/>
    <s v="25-06-2026"/>
    <s v="EXT"/>
    <n v="1"/>
  </r>
  <r>
    <n v="216"/>
    <s v="LANTAI"/>
    <s v="N11F3"/>
    <s v="OK "/>
    <s v="RESTACKING"/>
    <s v="DEPAN LAYDOWN BB2"/>
    <s v="25-06-2026"/>
    <s v="EXT"/>
    <n v="1"/>
  </r>
  <r>
    <n v="217"/>
    <s v="LANTAI"/>
    <s v="T1698"/>
    <s v="OK "/>
    <s v="CONGKEL"/>
    <s v="DEPAN LAYDOWN BB2"/>
    <s v="25-06-2026"/>
    <s v="MIXING "/>
    <n v="1"/>
  </r>
  <r>
    <n v="218"/>
    <s v="LANTAI"/>
    <s v="T1698"/>
    <s v="SCRAP"/>
    <s v="SCRAP"/>
    <s v="DEPAN LAYDOWN BB2"/>
    <m/>
    <s v="EXT"/>
    <n v="1"/>
  </r>
  <r>
    <n v="219"/>
    <s v="LANTAI"/>
    <s v="K771H"/>
    <s v="OK "/>
    <s v="CONGKEL"/>
    <s v="DEPAN LAYDOWN BB2"/>
    <m/>
    <s v="EXT"/>
    <n v="1"/>
  </r>
  <r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1"/>
    <s v="A103"/>
    <x v="0"/>
    <x v="0"/>
    <s v="SCRAP"/>
    <x v="0"/>
    <x v="0"/>
    <s v="MIXING"/>
  </r>
  <r>
    <n v="2"/>
    <s v="B103"/>
    <x v="0"/>
    <x v="0"/>
    <s v="SCRAP"/>
    <x v="0"/>
    <x v="0"/>
    <s v="MIXING"/>
  </r>
  <r>
    <n v="3"/>
    <s v="A105"/>
    <x v="0"/>
    <x v="0"/>
    <s v="SCRAP"/>
    <x v="0"/>
    <x v="0"/>
    <s v="MIXING"/>
  </r>
  <r>
    <n v="4"/>
    <s v="B105"/>
    <x v="0"/>
    <x v="0"/>
    <s v="SCRAP"/>
    <x v="0"/>
    <x v="0"/>
    <s v="MIXING"/>
  </r>
  <r>
    <n v="5"/>
    <s v="A106"/>
    <x v="0"/>
    <x v="0"/>
    <s v="SCRAP"/>
    <x v="0"/>
    <x v="0"/>
    <s v="MIXING"/>
  </r>
  <r>
    <n v="6"/>
    <s v="B106"/>
    <x v="0"/>
    <x v="0"/>
    <s v="SCRAP"/>
    <x v="0"/>
    <x v="0"/>
    <s v="MIXING"/>
  </r>
  <r>
    <n v="7"/>
    <s v="C106"/>
    <x v="0"/>
    <x v="0"/>
    <s v="SCRAP"/>
    <x v="0"/>
    <x v="0"/>
    <s v="MIXING"/>
  </r>
  <r>
    <n v="8"/>
    <s v="A108"/>
    <x v="0"/>
    <x v="0"/>
    <s v="SCRAP"/>
    <x v="0"/>
    <x v="0"/>
    <s v="MIXING"/>
  </r>
  <r>
    <n v="9"/>
    <s v="B108"/>
    <x v="0"/>
    <x v="0"/>
    <s v="SCRAP"/>
    <x v="0"/>
    <x v="0"/>
    <s v="MIXING"/>
  </r>
  <r>
    <n v="10"/>
    <s v="C108"/>
    <x v="0"/>
    <x v="0"/>
    <s v="SCRAP"/>
    <x v="0"/>
    <x v="0"/>
    <s v="MIXING"/>
  </r>
  <r>
    <n v="28"/>
    <s v="OTR"/>
    <x v="1"/>
    <x v="0"/>
    <s v="LUMPY"/>
    <x v="1"/>
    <x v="0"/>
    <s v="MIXING"/>
  </r>
  <r>
    <n v="29"/>
    <s v="BE18"/>
    <x v="1"/>
    <x v="1"/>
    <s v="PISAHIN"/>
    <x v="1"/>
    <x v="1"/>
    <s v="MIXING"/>
  </r>
  <r>
    <n v="30"/>
    <s v="BE17"/>
    <x v="2"/>
    <x v="1"/>
    <s v="RESTACKING"/>
    <x v="1"/>
    <x v="0"/>
    <s v="MIXING"/>
  </r>
  <r>
    <n v="31"/>
    <s v="BE16"/>
    <x v="1"/>
    <x v="0"/>
    <s v="LUMPY"/>
    <x v="1"/>
    <x v="0"/>
    <s v="MIXING"/>
  </r>
  <r>
    <n v="32"/>
    <s v="CF18"/>
    <x v="3"/>
    <x v="0"/>
    <s v="LUMPY"/>
    <x v="1"/>
    <x v="0"/>
    <s v="CALCUT"/>
  </r>
  <r>
    <n v="33"/>
    <s v="CF17"/>
    <x v="2"/>
    <x v="0"/>
    <s v="SCRAP"/>
    <x v="1"/>
    <x v="0"/>
    <s v="MIXING"/>
  </r>
  <r>
    <n v="34"/>
    <s v="CF16"/>
    <x v="2"/>
    <x v="0"/>
    <s v="SCRAP"/>
    <x v="1"/>
    <x v="0"/>
    <s v="MIXING"/>
  </r>
  <r>
    <n v="35"/>
    <s v="BF16"/>
    <x v="4"/>
    <x v="0"/>
    <s v="SCRAP"/>
    <x v="1"/>
    <x v="0"/>
    <m/>
  </r>
  <r>
    <n v="36"/>
    <s v="BF17"/>
    <x v="2"/>
    <x v="1"/>
    <s v="RESTACKING"/>
    <x v="1"/>
    <x v="1"/>
    <s v="MIXING"/>
  </r>
  <r>
    <n v="37"/>
    <s v="BF18"/>
    <x v="2"/>
    <x v="1"/>
    <s v="PISAHIN"/>
    <x v="1"/>
    <x v="0"/>
    <s v="MIXING"/>
  </r>
  <r>
    <n v="38"/>
    <s v="AF16"/>
    <x v="1"/>
    <x v="0"/>
    <s v="LUMPY"/>
    <x v="1"/>
    <x v="0"/>
    <s v="MIXING"/>
  </r>
  <r>
    <n v="39"/>
    <s v="AF17"/>
    <x v="2"/>
    <x v="0"/>
    <s v="LUMPY"/>
    <x v="1"/>
    <x v="0"/>
    <s v="MIXING"/>
  </r>
  <r>
    <n v="40"/>
    <s v="AF18"/>
    <x v="2"/>
    <x v="0"/>
    <s v="LUMPY"/>
    <x v="1"/>
    <x v="0"/>
    <s v="MIXING"/>
  </r>
  <r>
    <n v="41"/>
    <s v="OTR"/>
    <x v="5"/>
    <x v="1"/>
    <s v="RESTACKING"/>
    <x v="1"/>
    <x v="0"/>
    <s v="MIXING"/>
  </r>
  <r>
    <n v="42"/>
    <s v="OTR"/>
    <x v="6"/>
    <x v="0"/>
    <s v="LUMPY"/>
    <x v="1"/>
    <x v="0"/>
    <s v="EXT"/>
  </r>
  <r>
    <n v="43"/>
    <s v="OTR"/>
    <x v="2"/>
    <x v="1"/>
    <s v="BAGUS"/>
    <x v="1"/>
    <x v="0"/>
    <s v="MIXING"/>
  </r>
  <r>
    <n v="44"/>
    <s v="CF24"/>
    <x v="7"/>
    <x v="1"/>
    <s v="LENGKET"/>
    <x v="2"/>
    <x v="0"/>
    <s v="EXT"/>
  </r>
  <r>
    <n v="45"/>
    <s v="AE15"/>
    <x v="8"/>
    <x v="1"/>
    <s v="LENGKET"/>
    <x v="2"/>
    <x v="0"/>
    <s v="EXT"/>
  </r>
  <r>
    <n v="46"/>
    <s v="CE13"/>
    <x v="3"/>
    <x v="0"/>
    <s v="FM"/>
    <x v="2"/>
    <x v="0"/>
    <s v="EXT"/>
  </r>
  <r>
    <n v="47"/>
    <s v="BE13"/>
    <x v="9"/>
    <x v="0"/>
    <s v="LUMPY"/>
    <x v="2"/>
    <x v="0"/>
    <s v="EXT"/>
  </r>
  <r>
    <n v="48"/>
    <s v="C118"/>
    <x v="10"/>
    <x v="1"/>
    <s v="LENGKET"/>
    <x v="2"/>
    <x v="0"/>
    <s v="CALCUT"/>
  </r>
  <r>
    <n v="49"/>
    <s v="B15"/>
    <x v="11"/>
    <x v="0"/>
    <s v="LUMPY"/>
    <x v="2"/>
    <x v="0"/>
    <s v="EXT"/>
  </r>
  <r>
    <n v="50"/>
    <s v="B12"/>
    <x v="12"/>
    <x v="0"/>
    <s v="LUMPY"/>
    <x v="2"/>
    <x v="0"/>
    <s v="EXT"/>
  </r>
  <r>
    <n v="51"/>
    <s v="CE12"/>
    <x v="13"/>
    <x v="0"/>
    <s v="LUMPY"/>
    <x v="2"/>
    <x v="0"/>
    <s v="EXT"/>
  </r>
  <r>
    <n v="52"/>
    <s v="CF3"/>
    <x v="9"/>
    <x v="1"/>
    <s v="LENGKET"/>
    <x v="2"/>
    <x v="0"/>
    <s v="EXT"/>
  </r>
  <r>
    <n v="53"/>
    <s v="CE1"/>
    <x v="14"/>
    <x v="0"/>
    <s v="FORMAT BENANG"/>
    <x v="2"/>
    <x v="0"/>
    <s v="EXT"/>
  </r>
  <r>
    <n v="54"/>
    <s v="CE2"/>
    <x v="14"/>
    <x v="0"/>
    <s v="LUMPY (OK)"/>
    <x v="2"/>
    <x v="0"/>
    <s v="EXT"/>
  </r>
  <r>
    <n v="55"/>
    <s v="BE2"/>
    <x v="8"/>
    <x v="0"/>
    <s v="LUMPY"/>
    <x v="2"/>
    <x v="0"/>
    <s v="EXT"/>
  </r>
  <r>
    <n v="56"/>
    <s v="BE3"/>
    <x v="6"/>
    <x v="0"/>
    <s v="LUMPY"/>
    <x v="2"/>
    <x v="0"/>
    <s v="EXT"/>
  </r>
  <r>
    <n v="57"/>
    <s v="CF19"/>
    <x v="9"/>
    <x v="1"/>
    <s v="LENGKET"/>
    <x v="2"/>
    <x v="0"/>
    <s v="EXT"/>
  </r>
  <r>
    <n v="58"/>
    <s v="OTR"/>
    <x v="15"/>
    <x v="1"/>
    <s v="SEBAGAI OS T16R5"/>
    <x v="2"/>
    <x v="2"/>
    <s v="MIXING"/>
  </r>
  <r>
    <n v="59"/>
    <s v="OTR"/>
    <x v="6"/>
    <x v="0"/>
    <s v="LUMPY"/>
    <x v="2"/>
    <x v="0"/>
    <s v="EXT"/>
  </r>
  <r>
    <n v="60"/>
    <s v="CF21"/>
    <x v="7"/>
    <x v="0"/>
    <s v="SCRAP"/>
    <x v="2"/>
    <x v="0"/>
    <s v="EXT"/>
  </r>
  <r>
    <n v="61"/>
    <s v="CF28"/>
    <x v="11"/>
    <x v="1"/>
    <s v="SELEKSI"/>
    <x v="2"/>
    <x v="0"/>
    <s v="EXT"/>
  </r>
  <r>
    <n v="62"/>
    <s v="B85"/>
    <x v="12"/>
    <x v="1"/>
    <s v="CONGKEL &amp; RESTACKING"/>
    <x v="0"/>
    <x v="3"/>
    <s v="EXT"/>
  </r>
  <r>
    <n v="63"/>
    <s v="C85"/>
    <x v="12"/>
    <x v="1"/>
    <s v="CONGKEL"/>
    <x v="0"/>
    <x v="0"/>
    <s v="EXT"/>
  </r>
  <r>
    <n v="64"/>
    <s v="B86"/>
    <x v="16"/>
    <x v="1"/>
    <s v="CONGKEL (OK)"/>
    <x v="0"/>
    <x v="1"/>
    <s v="EXT"/>
  </r>
  <r>
    <n v="65"/>
    <s v="A91"/>
    <x v="15"/>
    <x v="1"/>
    <s v="OK T16R5"/>
    <x v="0"/>
    <x v="2"/>
    <s v="MIXING"/>
  </r>
  <r>
    <n v="66"/>
    <s v="C91"/>
    <x v="17"/>
    <x v="0"/>
    <s v="SCRAP"/>
    <x v="0"/>
    <x v="0"/>
    <s v="MIXING"/>
  </r>
  <r>
    <n v="67"/>
    <s v="B91"/>
    <x v="18"/>
    <x v="1"/>
    <s v="TIMBANG &amp; KEMBALIKAN KE ASALNYA"/>
    <x v="0"/>
    <x v="0"/>
    <s v="MIXING"/>
  </r>
  <r>
    <n v="68"/>
    <s v="A91"/>
    <x v="13"/>
    <x v="1"/>
    <s v="CONGKEL &amp; PAKAI DI KITA"/>
    <x v="0"/>
    <x v="0"/>
    <s v="EXT"/>
  </r>
  <r>
    <n v="69"/>
    <s v="B92"/>
    <x v="2"/>
    <x v="1"/>
    <s v="RESTACKING"/>
    <x v="0"/>
    <x v="0"/>
    <s v="MIXING"/>
  </r>
  <r>
    <n v="70"/>
    <s v="B93"/>
    <x v="12"/>
    <x v="1"/>
    <s v="EXT"/>
    <x v="0"/>
    <x v="0"/>
    <s v="EXT"/>
  </r>
  <r>
    <n v="71"/>
    <s v="C93"/>
    <x v="12"/>
    <x v="1"/>
    <s v="EXT"/>
    <x v="0"/>
    <x v="0"/>
    <s v="EXT"/>
  </r>
  <r>
    <n v="72"/>
    <s v="C92"/>
    <x v="19"/>
    <x v="0"/>
    <s v="SCRAP"/>
    <x v="0"/>
    <x v="0"/>
    <s v="EXT"/>
  </r>
  <r>
    <n v="73"/>
    <s v="B94"/>
    <x v="20"/>
    <x v="1"/>
    <s v="CONGKEL &amp; RESTACKING"/>
    <x v="0"/>
    <x v="0"/>
    <s v="EXT"/>
  </r>
  <r>
    <n v="74"/>
    <s v="C94"/>
    <x v="13"/>
    <x v="1"/>
    <s v="CONGKEL &amp; RESTACKING"/>
    <x v="0"/>
    <x v="1"/>
    <s v="EXT"/>
  </r>
  <r>
    <n v="75"/>
    <s v="B95"/>
    <x v="11"/>
    <x v="1"/>
    <s v="CONGKEL &amp; PISAHIN"/>
    <x v="0"/>
    <x v="0"/>
    <s v="EXT"/>
  </r>
  <r>
    <n v="76"/>
    <s v="C95"/>
    <x v="12"/>
    <x v="1"/>
    <s v="CONGKEL &amp; RESTACKING"/>
    <x v="0"/>
    <x v="1"/>
    <s v="EXT"/>
  </r>
  <r>
    <n v="77"/>
    <s v="C96"/>
    <x v="12"/>
    <x v="1"/>
    <s v="CONGKEL &amp; RESTACKING (EXT)"/>
    <x v="0"/>
    <x v="2"/>
    <s v="EXT"/>
  </r>
  <r>
    <n v="78"/>
    <s v="C96"/>
    <x v="13"/>
    <x v="1"/>
    <s v="SEREGASI"/>
    <x v="0"/>
    <x v="0"/>
    <s v="EXT"/>
  </r>
  <r>
    <n v="79"/>
    <s v="B119"/>
    <x v="13"/>
    <x v="1"/>
    <s v="EXT"/>
    <x v="0"/>
    <x v="2"/>
    <s v="EXT"/>
  </r>
  <r>
    <n v="80"/>
    <s v="B120"/>
    <x v="20"/>
    <x v="0"/>
    <s v="SCRAP"/>
    <x v="0"/>
    <x v="0"/>
    <s v="EXT"/>
  </r>
  <r>
    <n v="81"/>
    <s v="B118"/>
    <x v="8"/>
    <x v="1"/>
    <s v="RESTACKING"/>
    <x v="0"/>
    <x v="0"/>
    <s v="EXT"/>
  </r>
  <r>
    <n v="82"/>
    <s v="C118"/>
    <x v="21"/>
    <x v="0"/>
    <s v="G (SCRAP)"/>
    <x v="0"/>
    <x v="0"/>
    <s v="MIXING"/>
  </r>
  <r>
    <n v="83"/>
    <s v="B119"/>
    <x v="13"/>
    <x v="0"/>
    <s v="SCRAP"/>
    <x v="0"/>
    <x v="4"/>
    <s v="EXT"/>
  </r>
  <r>
    <n v="84"/>
    <s v="C120"/>
    <x v="21"/>
    <x v="0"/>
    <s v="SCRAP (COBA GILING EXT)"/>
    <x v="0"/>
    <x v="0"/>
    <s v="MIXING"/>
  </r>
  <r>
    <n v="85"/>
    <s v="LUAR RAK"/>
    <x v="22"/>
    <x v="0"/>
    <s v="SCRAP"/>
    <x v="0"/>
    <x v="0"/>
    <s v="MIXING"/>
  </r>
  <r>
    <n v="86"/>
    <s v="C39"/>
    <x v="12"/>
    <x v="1"/>
    <s v="EXT"/>
    <x v="0"/>
    <x v="4"/>
    <s v="EXT"/>
  </r>
  <r>
    <n v="87"/>
    <s v="C38"/>
    <x v="23"/>
    <x v="1"/>
    <s v="ATAS PISAHIN (MASTERBATCH)"/>
    <x v="0"/>
    <x v="0"/>
    <s v="MIXING"/>
  </r>
  <r>
    <n v="88"/>
    <s v="C37"/>
    <x v="9"/>
    <x v="1"/>
    <s v="RESTACKING"/>
    <x v="0"/>
    <x v="0"/>
    <s v="EXT"/>
  </r>
  <r>
    <n v="89"/>
    <s v="B39"/>
    <x v="24"/>
    <x v="0"/>
    <s v="SCRAP"/>
    <x v="0"/>
    <x v="0"/>
    <s v="MIXING"/>
  </r>
  <r>
    <n v="90"/>
    <m/>
    <x v="11"/>
    <x v="1"/>
    <s v="SEGREASI PISAHIN (AREA RESTACK)"/>
    <x v="0"/>
    <x v="0"/>
    <s v="EXT"/>
  </r>
  <r>
    <n v="91"/>
    <s v="A37"/>
    <x v="11"/>
    <x v="0"/>
    <s v="SCRAP"/>
    <x v="0"/>
    <x v="0"/>
    <s v="EXT"/>
  </r>
  <r>
    <n v="92"/>
    <s v="A38"/>
    <x v="25"/>
    <x v="0"/>
    <s v="SCRAP"/>
    <x v="0"/>
    <x v="0"/>
    <s v="MIXING"/>
  </r>
  <r>
    <n v="93"/>
    <s v="B37"/>
    <x v="23"/>
    <x v="1"/>
    <s v="SEREGASI"/>
    <x v="0"/>
    <x v="0"/>
    <s v="MIXING"/>
  </r>
  <r>
    <n v="94"/>
    <s v="A36"/>
    <x v="23"/>
    <x v="0"/>
    <s v="SCRAP"/>
    <x v="0"/>
    <x v="0"/>
    <s v="MIXING"/>
  </r>
  <r>
    <n v="95"/>
    <s v="A35"/>
    <x v="11"/>
    <x v="1"/>
    <s v="SEREGASI"/>
    <x v="0"/>
    <x v="0"/>
    <s v="EXT"/>
  </r>
  <r>
    <n v="96"/>
    <s v="A34"/>
    <x v="11"/>
    <x v="0"/>
    <s v="SCRAP (COBA GILING EXT)"/>
    <x v="0"/>
    <x v="0"/>
    <s v="EXT"/>
  </r>
  <r>
    <n v="97"/>
    <s v="C36"/>
    <x v="2"/>
    <x v="1"/>
    <s v="PAKAI CLEANER"/>
    <x v="0"/>
    <x v="0"/>
    <s v="MIXING"/>
  </r>
  <r>
    <n v="98"/>
    <s v="B34"/>
    <x v="11"/>
    <x v="1"/>
    <s v="CONGKEL"/>
    <x v="0"/>
    <x v="2"/>
    <s v="EXT"/>
  </r>
  <r>
    <n v="99"/>
    <s v="C34"/>
    <x v="11"/>
    <x v="1"/>
    <s v="CONGKEL"/>
    <x v="0"/>
    <x v="0"/>
    <s v="EXT"/>
  </r>
  <r>
    <n v="100"/>
    <s v="B35"/>
    <x v="23"/>
    <x v="1"/>
    <s v="RESTACKING"/>
    <x v="0"/>
    <x v="0"/>
    <s v="MIXING"/>
  </r>
  <r>
    <n v="101"/>
    <s v="C35"/>
    <x v="9"/>
    <x v="0"/>
    <s v="SCRAP"/>
    <x v="0"/>
    <x v="0"/>
    <s v="EXT"/>
  </r>
  <r>
    <n v="102"/>
    <s v="B36"/>
    <x v="26"/>
    <x v="1"/>
    <s v="CONGKEL"/>
    <x v="0"/>
    <x v="0"/>
    <s v="MIXING"/>
  </r>
  <r>
    <n v="103"/>
    <s v="C33"/>
    <x v="13"/>
    <x v="0"/>
    <s v="SCRAP"/>
    <x v="0"/>
    <x v="0"/>
    <s v="EXT"/>
  </r>
  <r>
    <n v="104"/>
    <s v="B33"/>
    <x v="14"/>
    <x v="0"/>
    <s v="SCRAP"/>
    <x v="0"/>
    <x v="0"/>
    <s v="EXT"/>
  </r>
  <r>
    <n v="105"/>
    <s v="C30"/>
    <x v="2"/>
    <x v="1"/>
    <s v="OK (REMILL)"/>
    <x v="0"/>
    <x v="0"/>
    <s v="MIXING"/>
  </r>
  <r>
    <n v="106"/>
    <s v="B29"/>
    <x v="2"/>
    <x v="1"/>
    <s v="SEREGASI"/>
    <x v="0"/>
    <x v="0"/>
    <s v="MIXING"/>
  </r>
  <r>
    <n v="107"/>
    <s v="C29"/>
    <x v="13"/>
    <x v="1"/>
    <s v="RESTACKING"/>
    <x v="0"/>
    <x v="0"/>
    <s v="EXT"/>
  </r>
  <r>
    <n v="108"/>
    <s v="A31"/>
    <x v="13"/>
    <x v="1"/>
    <s v="RESTACKING"/>
    <x v="0"/>
    <x v="0"/>
    <s v="EXT"/>
  </r>
  <r>
    <n v="109"/>
    <s v="A33"/>
    <x v="25"/>
    <x v="0"/>
    <s v="SCRAP"/>
    <x v="0"/>
    <x v="0"/>
    <s v="MIXING"/>
  </r>
  <r>
    <n v="110"/>
    <s v="B32"/>
    <x v="17"/>
    <x v="0"/>
    <s v="LUMPY SCRAP"/>
    <x v="0"/>
    <x v="0"/>
    <s v="MIXING"/>
  </r>
  <r>
    <n v="111"/>
    <s v="A29"/>
    <x v="23"/>
    <x v="1"/>
    <s v="POTONG-POTONG"/>
    <x v="0"/>
    <x v="0"/>
    <s v="MIXING"/>
  </r>
  <r>
    <n v="112"/>
    <s v="LANTAI"/>
    <x v="27"/>
    <x v="1"/>
    <s v="DISPOSISI"/>
    <x v="0"/>
    <x v="0"/>
    <s v="EXT"/>
  </r>
  <r>
    <n v="113"/>
    <s v="A28"/>
    <x v="17"/>
    <x v="0"/>
    <s v="SCRAP"/>
    <x v="0"/>
    <x v="0"/>
    <s v="MIXING"/>
  </r>
  <r>
    <n v="114"/>
    <s v="A26"/>
    <x v="28"/>
    <x v="1"/>
    <s v="POTONG-POTONG"/>
    <x v="0"/>
    <x v="2"/>
    <s v="MIXING"/>
  </r>
  <r>
    <n v="115"/>
    <s v="A27"/>
    <x v="29"/>
    <x v="0"/>
    <s v="SCRAP"/>
    <x v="0"/>
    <x v="0"/>
    <s v="CALCUT"/>
  </r>
  <r>
    <n v="116"/>
    <s v="A25"/>
    <x v="23"/>
    <x v="1"/>
    <s v="SEREGASI"/>
    <x v="0"/>
    <x v="0"/>
    <s v="MIXING"/>
  </r>
  <r>
    <n v="117"/>
    <s v="C27"/>
    <x v="13"/>
    <x v="0"/>
    <s v="SCRAP"/>
    <x v="0"/>
    <x v="0"/>
    <s v="EXT"/>
  </r>
  <r>
    <n v="118"/>
    <s v="A24"/>
    <x v="1"/>
    <x v="0"/>
    <s v="SCRAP"/>
    <x v="0"/>
    <x v="0"/>
    <s v="MIXING"/>
  </r>
  <r>
    <n v="119"/>
    <s v="A23"/>
    <x v="1"/>
    <x v="1"/>
    <s v="RESTACKING"/>
    <x v="0"/>
    <x v="0"/>
    <s v="MIXING"/>
  </r>
  <r>
    <n v="120"/>
    <s v="A22"/>
    <x v="30"/>
    <x v="0"/>
    <s v="SCRAP"/>
    <x v="0"/>
    <x v="0"/>
    <s v="EXT"/>
  </r>
  <r>
    <n v="121"/>
    <s v="A21"/>
    <x v="13"/>
    <x v="1"/>
    <s v="SEGREASI PISAHIN "/>
    <x v="0"/>
    <x v="0"/>
    <s v="EXT"/>
  </r>
  <r>
    <n v="122"/>
    <s v="A20"/>
    <x v="13"/>
    <x v="0"/>
    <s v="SCRAP"/>
    <x v="0"/>
    <x v="0"/>
    <s v="EXT"/>
  </r>
  <r>
    <n v="123"/>
    <s v="A18"/>
    <x v="11"/>
    <x v="0"/>
    <s v="SCRAP"/>
    <x v="0"/>
    <x v="0"/>
    <s v="EXT"/>
  </r>
  <r>
    <n v="124"/>
    <s v="A17"/>
    <x v="17"/>
    <x v="0"/>
    <s v="SCRAP"/>
    <x v="0"/>
    <x v="0"/>
    <s v="EXT"/>
  </r>
  <r>
    <n v="125"/>
    <s v="A16"/>
    <x v="13"/>
    <x v="1"/>
    <s v="RESTACKING"/>
    <x v="0"/>
    <x v="0"/>
    <s v="EXT"/>
  </r>
  <r>
    <n v="126"/>
    <s v="A14"/>
    <x v="10"/>
    <x v="1"/>
    <s v="PISAHIN"/>
    <x v="0"/>
    <x v="0"/>
    <s v="CALCUT"/>
  </r>
  <r>
    <n v="127"/>
    <s v="A15"/>
    <x v="1"/>
    <x v="0"/>
    <s v="SCRAP"/>
    <x v="0"/>
    <x v="0"/>
    <s v="MIXING"/>
  </r>
  <r>
    <n v="128"/>
    <s v="A13"/>
    <x v="9"/>
    <x v="1"/>
    <s v="JADIIN OS"/>
    <x v="0"/>
    <x v="0"/>
    <s v="EXT"/>
  </r>
  <r>
    <n v="129"/>
    <s v="A12"/>
    <x v="13"/>
    <x v="1"/>
    <s v="JADIIN OS"/>
    <x v="0"/>
    <x v="0"/>
    <s v="EXT"/>
  </r>
  <r>
    <n v="130"/>
    <n v="130"/>
    <x v="30"/>
    <x v="1"/>
    <s v="RESTACKING"/>
    <x v="0"/>
    <x v="2"/>
    <s v="EXT"/>
  </r>
  <r>
    <n v="131"/>
    <s v="A11"/>
    <x v="2"/>
    <x v="1"/>
    <s v="REMILL"/>
    <x v="0"/>
    <x v="0"/>
    <s v="MIXING"/>
  </r>
  <r>
    <n v="132"/>
    <s v="A9"/>
    <x v="25"/>
    <x v="0"/>
    <s v="SCRAP"/>
    <x v="0"/>
    <x v="0"/>
    <m/>
  </r>
  <r>
    <n v="133"/>
    <s v="A7"/>
    <x v="9"/>
    <x v="0"/>
    <s v="SCRAP"/>
    <x v="0"/>
    <x v="0"/>
    <m/>
  </r>
  <r>
    <n v="134"/>
    <s v="A8"/>
    <x v="3"/>
    <x v="1"/>
    <s v="RESTACKING"/>
    <x v="0"/>
    <x v="2"/>
    <s v="CALCUT"/>
  </r>
  <r>
    <n v="135"/>
    <s v="C32"/>
    <x v="13"/>
    <x v="1"/>
    <s v="REMILL"/>
    <x v="0"/>
    <x v="0"/>
    <s v="EXT"/>
  </r>
  <r>
    <n v="136"/>
    <s v="B32"/>
    <x v="13"/>
    <x v="1"/>
    <s v="RESTACKING"/>
    <x v="0"/>
    <x v="0"/>
    <s v="EXT"/>
  </r>
  <r>
    <n v="137"/>
    <s v="C31"/>
    <x v="2"/>
    <x v="1"/>
    <s v="RESTACKING"/>
    <x v="0"/>
    <x v="1"/>
    <s v="MIXING"/>
  </r>
  <r>
    <n v="138"/>
    <s v="B31"/>
    <x v="12"/>
    <x v="1"/>
    <s v="POTONG-POTONG"/>
    <x v="0"/>
    <x v="0"/>
    <s v="EXT"/>
  </r>
  <r>
    <n v="139"/>
    <s v="C28"/>
    <x v="2"/>
    <x v="1"/>
    <s v="SEBAGAI LAST NP 10 KG T16R5"/>
    <x v="0"/>
    <x v="0"/>
    <s v="MIXING"/>
  </r>
  <r>
    <n v="140"/>
    <s v="C26"/>
    <x v="11"/>
    <x v="1"/>
    <s v="CONGKEL"/>
    <x v="0"/>
    <x v="0"/>
    <s v="EXT"/>
  </r>
  <r>
    <n v="141"/>
    <s v="B25"/>
    <x v="4"/>
    <x v="0"/>
    <s v="SCRAP"/>
    <x v="0"/>
    <x v="0"/>
    <m/>
  </r>
  <r>
    <n v="142"/>
    <s v="C25"/>
    <x v="2"/>
    <x v="1"/>
    <s v="REMILL"/>
    <x v="0"/>
    <x v="0"/>
    <s v="MIXING"/>
  </r>
  <r>
    <n v="143"/>
    <s v="B27"/>
    <x v="17"/>
    <x v="1"/>
    <s v="RESTACKING"/>
    <x v="0"/>
    <x v="2"/>
    <s v="MIXING"/>
  </r>
  <r>
    <n v="144"/>
    <s v="B24"/>
    <x v="2"/>
    <x v="1"/>
    <s v="PISAHIN"/>
    <x v="0"/>
    <x v="0"/>
    <s v="MIXING"/>
  </r>
  <r>
    <n v="145"/>
    <s v="C24"/>
    <x v="17"/>
    <x v="1"/>
    <s v="RESTACKING"/>
    <x v="0"/>
    <x v="0"/>
    <s v="MIXING"/>
  </r>
  <r>
    <n v="146"/>
    <s v="C23"/>
    <x v="9"/>
    <x v="0"/>
    <s v="SCRAP"/>
    <x v="0"/>
    <x v="0"/>
    <m/>
  </r>
  <r>
    <n v="147"/>
    <s v="B22"/>
    <x v="23"/>
    <x v="1"/>
    <s v="CONGKEL"/>
    <x v="0"/>
    <x v="0"/>
    <s v="MIXING"/>
  </r>
  <r>
    <n v="148"/>
    <s v="C22"/>
    <x v="17"/>
    <x v="1"/>
    <s v="PISAHIN"/>
    <x v="0"/>
    <x v="0"/>
    <s v="MIXING"/>
  </r>
  <r>
    <n v="149"/>
    <s v="C21"/>
    <x v="13"/>
    <x v="1"/>
    <s v="PISAHIN"/>
    <x v="0"/>
    <x v="0"/>
    <s v="EXT"/>
  </r>
  <r>
    <n v="150"/>
    <s v="B21"/>
    <x v="9"/>
    <x v="1"/>
    <s v="GILING DI EXT"/>
    <x v="0"/>
    <x v="0"/>
    <s v="EXT"/>
  </r>
  <r>
    <n v="151"/>
    <s v="B20"/>
    <x v="17"/>
    <x v="1"/>
    <s v="RESTACKING"/>
    <x v="0"/>
    <x v="0"/>
    <s v="MIXING"/>
  </r>
  <r>
    <n v="152"/>
    <s v="C20"/>
    <x v="1"/>
    <x v="1"/>
    <s v="CONGKEL"/>
    <x v="0"/>
    <x v="0"/>
    <s v="MIXING"/>
  </r>
  <r>
    <n v="153"/>
    <s v="C19"/>
    <x v="1"/>
    <x v="1"/>
    <s v="PISAHIN"/>
    <x v="0"/>
    <x v="0"/>
    <s v="MIXING"/>
  </r>
  <r>
    <n v="154"/>
    <s v="B18"/>
    <x v="11"/>
    <x v="0"/>
    <s v="SCRAP"/>
    <x v="0"/>
    <x v="0"/>
    <m/>
  </r>
  <r>
    <n v="155"/>
    <s v="C18"/>
    <x v="9"/>
    <x v="0"/>
    <s v="SCRAP"/>
    <x v="0"/>
    <x v="1"/>
    <m/>
  </r>
  <r>
    <n v="156"/>
    <s v="C17"/>
    <x v="31"/>
    <x v="1"/>
    <s v="PISAHIN"/>
    <x v="0"/>
    <x v="0"/>
    <s v="CALCUT"/>
  </r>
  <r>
    <n v="157"/>
    <s v="B17"/>
    <x v="2"/>
    <x v="0"/>
    <s v="SCRAP"/>
    <x v="0"/>
    <x v="0"/>
    <s v="MIXING"/>
  </r>
  <r>
    <n v="158"/>
    <s v="B16"/>
    <x v="2"/>
    <x v="0"/>
    <s v="SCRAP"/>
    <x v="0"/>
    <x v="0"/>
    <s v="MIXING"/>
  </r>
  <r>
    <n v="159"/>
    <s v="C15"/>
    <x v="9"/>
    <x v="1"/>
    <s v="GILING DI EXT"/>
    <x v="0"/>
    <x v="0"/>
    <s v="EXT"/>
  </r>
  <r>
    <n v="160"/>
    <s v="B15"/>
    <x v="17"/>
    <x v="0"/>
    <s v="SCRAP"/>
    <x v="0"/>
    <x v="1"/>
    <m/>
  </r>
  <r>
    <n v="161"/>
    <s v="B13"/>
    <x v="2"/>
    <x v="1"/>
    <s v="RESTACKING"/>
    <x v="0"/>
    <x v="0"/>
    <s v="MIXING"/>
  </r>
  <r>
    <n v="162"/>
    <s v="C14"/>
    <x v="17"/>
    <x v="1"/>
    <s v="PISAHIN"/>
    <x v="0"/>
    <x v="0"/>
    <s v="MIXING"/>
  </r>
  <r>
    <n v="163"/>
    <s v="C13"/>
    <x v="9"/>
    <x v="0"/>
    <s v="SCRAP"/>
    <x v="0"/>
    <x v="0"/>
    <m/>
  </r>
  <r>
    <n v="164"/>
    <s v="B14"/>
    <x v="2"/>
    <x v="1"/>
    <s v="REMILL"/>
    <x v="0"/>
    <x v="0"/>
    <s v="MIXING"/>
  </r>
  <r>
    <n v="165"/>
    <s v="C12"/>
    <x v="2"/>
    <x v="1"/>
    <s v="SEBAGAI NOLO LAST RUN S6R51"/>
    <x v="0"/>
    <x v="0"/>
    <s v="MIXING"/>
  </r>
  <r>
    <n v="166"/>
    <s v="C11"/>
    <x v="2"/>
    <x v="1"/>
    <s v="PISAHIN"/>
    <x v="0"/>
    <x v="0"/>
    <s v="MIXING"/>
  </r>
  <r>
    <n v="167"/>
    <s v="C10"/>
    <x v="17"/>
    <x v="0"/>
    <s v="SCRAP"/>
    <x v="0"/>
    <x v="1"/>
    <m/>
  </r>
  <r>
    <n v="168"/>
    <s v="B12"/>
    <x v="9"/>
    <x v="0"/>
    <s v="SCRAP"/>
    <x v="0"/>
    <x v="0"/>
    <m/>
  </r>
  <r>
    <n v="169"/>
    <s v="B11"/>
    <x v="2"/>
    <x v="1"/>
    <s v="RESTACKING"/>
    <x v="0"/>
    <x v="0"/>
    <s v="MIXING"/>
  </r>
  <r>
    <n v="170"/>
    <s v="B10"/>
    <x v="17"/>
    <x v="1"/>
    <s v="RESTACKING F740A ODS"/>
    <x v="0"/>
    <x v="0"/>
    <s v="MIXING"/>
  </r>
  <r>
    <n v="171"/>
    <s v="B9"/>
    <x v="2"/>
    <x v="1"/>
    <s v="OK PAKE"/>
    <x v="0"/>
    <x v="0"/>
    <s v="MIXING"/>
  </r>
  <r>
    <n v="172"/>
    <s v="B8"/>
    <x v="13"/>
    <x v="1"/>
    <s v="PISAHIN"/>
    <x v="0"/>
    <x v="0"/>
    <s v="EXT"/>
  </r>
  <r>
    <n v="173"/>
    <s v="C9"/>
    <x v="2"/>
    <x v="1"/>
    <s v="PISAHIN"/>
    <x v="0"/>
    <x v="0"/>
    <s v="MIXING"/>
  </r>
  <r>
    <n v="174"/>
    <s v="C7"/>
    <x v="2"/>
    <x v="1"/>
    <s v="RESTACKING"/>
    <x v="0"/>
    <x v="0"/>
    <s v="MIXING"/>
  </r>
  <r>
    <n v="175"/>
    <s v="B7"/>
    <x v="2"/>
    <x v="1"/>
    <s v="OK CKEANER"/>
    <x v="0"/>
    <x v="0"/>
    <s v="MIXING"/>
  </r>
  <r>
    <n v="176"/>
    <s v="C128"/>
    <x v="2"/>
    <x v="1"/>
    <s v="CLEANER BB2"/>
    <x v="0"/>
    <x v="0"/>
    <s v="MIXING"/>
  </r>
  <r>
    <n v="177"/>
    <s v="RAK MERAH"/>
    <x v="21"/>
    <x v="0"/>
    <s v="SCRAP"/>
    <x v="0"/>
    <x v="0"/>
    <s v="MIXING"/>
  </r>
  <r>
    <n v="178"/>
    <s v="RAK MERAH"/>
    <x v="21"/>
    <x v="0"/>
    <s v="SCRAP"/>
    <x v="0"/>
    <x v="0"/>
    <s v="MIXING"/>
  </r>
  <r>
    <n v="179"/>
    <s v="RAK MERAH"/>
    <x v="21"/>
    <x v="0"/>
    <s v="SCRAP"/>
    <x v="0"/>
    <x v="0"/>
    <s v="MIXING"/>
  </r>
  <r>
    <n v="180"/>
    <s v="RAK MERAH"/>
    <x v="21"/>
    <x v="0"/>
    <s v="SCRAP"/>
    <x v="0"/>
    <x v="0"/>
    <s v="MIXING"/>
  </r>
  <r>
    <n v="181"/>
    <s v="RAK MERAH"/>
    <x v="21"/>
    <x v="0"/>
    <s v="SCRAP"/>
    <x v="0"/>
    <x v="0"/>
    <s v="MIXING"/>
  </r>
  <r>
    <n v="182"/>
    <s v="RAK MERAH"/>
    <x v="21"/>
    <x v="0"/>
    <s v="SCRAP"/>
    <x v="0"/>
    <x v="0"/>
    <s v="MIXING"/>
  </r>
  <r>
    <n v="183"/>
    <s v="RAK MERAH"/>
    <x v="21"/>
    <x v="0"/>
    <s v="SCRAP"/>
    <x v="0"/>
    <x v="0"/>
    <s v="MIXING"/>
  </r>
  <r>
    <n v="184"/>
    <s v="RAK MERAH"/>
    <x v="21"/>
    <x v="0"/>
    <s v="SCRAP"/>
    <x v="0"/>
    <x v="0"/>
    <s v="MIXING"/>
  </r>
  <r>
    <n v="185"/>
    <s v="RAK MERAH"/>
    <x v="21"/>
    <x v="0"/>
    <s v="SCRAP"/>
    <x v="0"/>
    <x v="0"/>
    <s v="MIXING"/>
  </r>
  <r>
    <n v="186"/>
    <s v="RAK MERAH"/>
    <x v="29"/>
    <x v="0"/>
    <s v="SCRAP"/>
    <x v="0"/>
    <x v="0"/>
    <m/>
  </r>
  <r>
    <n v="187"/>
    <s v="RAK MERAH"/>
    <x v="29"/>
    <x v="0"/>
    <s v="SCRAP"/>
    <x v="0"/>
    <x v="0"/>
    <m/>
  </r>
  <r>
    <n v="188"/>
    <s v="RAK MERAH"/>
    <x v="29"/>
    <x v="0"/>
    <s v="SCRAP"/>
    <x v="0"/>
    <x v="0"/>
    <m/>
  </r>
  <r>
    <n v="189"/>
    <s v="RAK MERAH"/>
    <x v="29"/>
    <x v="0"/>
    <s v="SCRAP"/>
    <x v="0"/>
    <x v="0"/>
    <m/>
  </r>
  <r>
    <n v="190"/>
    <s v="RAK MERAH"/>
    <x v="29"/>
    <x v="0"/>
    <s v="SCRAP"/>
    <x v="0"/>
    <x v="0"/>
    <m/>
  </r>
  <r>
    <n v="191"/>
    <s v="RAK MERAH"/>
    <x v="29"/>
    <x v="0"/>
    <s v="SCRAP"/>
    <x v="0"/>
    <x v="0"/>
    <m/>
  </r>
  <r>
    <n v="192"/>
    <s v="RAK MERAH"/>
    <x v="29"/>
    <x v="0"/>
    <s v="SCRAP"/>
    <x v="0"/>
    <x v="0"/>
    <m/>
  </r>
  <r>
    <n v="193"/>
    <s v="RAK MERAH"/>
    <x v="29"/>
    <x v="0"/>
    <s v="SCRAP"/>
    <x v="0"/>
    <x v="0"/>
    <m/>
  </r>
  <r>
    <n v="194"/>
    <s v="RAK MERAH"/>
    <x v="29"/>
    <x v="0"/>
    <s v="SCRAP"/>
    <x v="0"/>
    <x v="0"/>
    <m/>
  </r>
  <r>
    <n v="195"/>
    <s v="RAK MERAH"/>
    <x v="29"/>
    <x v="0"/>
    <s v="SCRAP"/>
    <x v="0"/>
    <x v="0"/>
    <m/>
  </r>
  <r>
    <n v="196"/>
    <s v="RAK MERAH"/>
    <x v="29"/>
    <x v="0"/>
    <s v="SCRAP"/>
    <x v="0"/>
    <x v="0"/>
    <m/>
  </r>
  <r>
    <n v="197"/>
    <s v="RAK MERAH"/>
    <x v="1"/>
    <x v="0"/>
    <s v="SCRAP"/>
    <x v="0"/>
    <x v="0"/>
    <s v="MIXING"/>
  </r>
  <r>
    <n v="198"/>
    <s v="RAK MERAH"/>
    <x v="1"/>
    <x v="0"/>
    <s v="SCRAP"/>
    <x v="0"/>
    <x v="0"/>
    <s v="MIXING"/>
  </r>
  <r>
    <n v="199"/>
    <s v="RAK MERAH"/>
    <x v="1"/>
    <x v="0"/>
    <s v="SCRAP"/>
    <x v="0"/>
    <x v="0"/>
    <s v="MIXING"/>
  </r>
  <r>
    <n v="200"/>
    <s v="RAK MERAH"/>
    <x v="1"/>
    <x v="0"/>
    <s v="SCRAP"/>
    <x v="0"/>
    <x v="0"/>
    <s v="MIXING"/>
  </r>
  <r>
    <n v="201"/>
    <s v="RAK MERAH"/>
    <x v="1"/>
    <x v="0"/>
    <s v="SCRAP"/>
    <x v="0"/>
    <x v="0"/>
    <s v="MIXING"/>
  </r>
  <r>
    <n v="202"/>
    <s v="RAK MERAH"/>
    <x v="1"/>
    <x v="0"/>
    <s v="SCRAP"/>
    <x v="0"/>
    <x v="0"/>
    <s v="MIXING"/>
  </r>
  <r>
    <n v="203"/>
    <s v="RAK MERAH"/>
    <x v="1"/>
    <x v="0"/>
    <s v="SCRAP"/>
    <x v="0"/>
    <x v="0"/>
    <s v="MIXING"/>
  </r>
  <r>
    <n v="204"/>
    <s v="RAK MERAH"/>
    <x v="1"/>
    <x v="0"/>
    <s v="SCRAP"/>
    <x v="0"/>
    <x v="0"/>
    <s v="MIXING"/>
  </r>
  <r>
    <n v="205"/>
    <s v="RAK MERAH"/>
    <x v="1"/>
    <x v="0"/>
    <s v="SCRAP"/>
    <x v="0"/>
    <x v="0"/>
    <s v="MIXING"/>
  </r>
  <r>
    <n v="206"/>
    <s v="RAK MERAH"/>
    <x v="21"/>
    <x v="0"/>
    <s v="SCRAP"/>
    <x v="0"/>
    <x v="0"/>
    <s v="MIXING"/>
  </r>
  <r>
    <n v="207"/>
    <s v="RAK MERAH"/>
    <x v="21"/>
    <x v="0"/>
    <s v="SCRAP"/>
    <x v="0"/>
    <x v="0"/>
    <s v="MIXING"/>
  </r>
  <r>
    <n v="208"/>
    <s v="RAK MERAH"/>
    <x v="21"/>
    <x v="0"/>
    <s v="SCRAP"/>
    <x v="0"/>
    <x v="0"/>
    <s v="MIXING"/>
  </r>
  <r>
    <n v="209"/>
    <s v="RAK MERAH"/>
    <x v="21"/>
    <x v="0"/>
    <s v="SCRAP"/>
    <x v="0"/>
    <x v="0"/>
    <s v="MIXING"/>
  </r>
  <r>
    <n v="210"/>
    <s v="RAK MERAH"/>
    <x v="21"/>
    <x v="0"/>
    <s v="SCRAP"/>
    <x v="0"/>
    <x v="0"/>
    <s v="MIXING"/>
  </r>
  <r>
    <n v="211"/>
    <s v="RAK MERAH"/>
    <x v="21"/>
    <x v="0"/>
    <s v="SCRAP"/>
    <x v="0"/>
    <x v="0"/>
    <s v="MIXING"/>
  </r>
  <r>
    <n v="212"/>
    <s v="RAK MERAH"/>
    <x v="32"/>
    <x v="0"/>
    <s v="SCRAP"/>
    <x v="0"/>
    <x v="0"/>
    <m/>
  </r>
  <r>
    <n v="213"/>
    <s v="LANTAI"/>
    <x v="13"/>
    <x v="0"/>
    <s v="SCRAP"/>
    <x v="3"/>
    <x v="0"/>
    <m/>
  </r>
  <r>
    <n v="214"/>
    <s v="LANTAI"/>
    <x v="13"/>
    <x v="0"/>
    <s v="SCRAP"/>
    <x v="3"/>
    <x v="0"/>
    <m/>
  </r>
  <r>
    <n v="215"/>
    <s v="LANTAI"/>
    <x v="13"/>
    <x v="0"/>
    <s v="SCRAP"/>
    <x v="3"/>
    <x v="4"/>
    <m/>
  </r>
  <r>
    <n v="216"/>
    <s v="LANTAI"/>
    <x v="13"/>
    <x v="0"/>
    <s v="SCRAP"/>
    <x v="3"/>
    <x v="4"/>
    <m/>
  </r>
  <r>
    <n v="217"/>
    <s v="LANTAI"/>
    <x v="2"/>
    <x v="0"/>
    <s v="SCRAP"/>
    <x v="3"/>
    <x v="4"/>
    <s v="MIXING"/>
  </r>
  <r>
    <m/>
    <m/>
    <x v="8"/>
    <x v="2"/>
    <m/>
    <x v="4"/>
    <x v="0"/>
    <m/>
  </r>
  <r>
    <m/>
    <m/>
    <x v="8"/>
    <x v="2"/>
    <m/>
    <x v="4"/>
    <x v="0"/>
    <m/>
  </r>
  <r>
    <m/>
    <m/>
    <x v="8"/>
    <x v="2"/>
    <m/>
    <x v="4"/>
    <x v="0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1"/>
    <n v="2653"/>
    <s v="S7890"/>
    <m/>
    <x v="0"/>
    <m/>
    <d v="2026-07-28T00:00:00"/>
    <x v="0"/>
    <x v="0"/>
    <n v="4"/>
  </r>
  <r>
    <n v="2"/>
    <n v="161"/>
    <s v="WSWR"/>
    <m/>
    <x v="1"/>
    <m/>
    <d v="2026-08-01T00:00:00"/>
    <x v="1"/>
    <x v="0"/>
    <n v="1"/>
  </r>
  <r>
    <n v="3"/>
    <n v="162"/>
    <s v="S777C"/>
    <m/>
    <x v="2"/>
    <m/>
    <d v="2026-08-01T00:00:00"/>
    <x v="2"/>
    <x v="0"/>
    <n v="2"/>
  </r>
  <r>
    <n v="4"/>
    <n v="163"/>
    <s v="S777C"/>
    <m/>
    <x v="2"/>
    <m/>
    <d v="2026-08-01T00:00:00"/>
    <x v="2"/>
    <x v="0"/>
    <n v="2"/>
  </r>
  <r>
    <n v="5"/>
    <n v="164"/>
    <s v="S7672"/>
    <m/>
    <x v="3"/>
    <m/>
    <d v="2026-08-01T00:00:00"/>
    <x v="2"/>
    <x v="0"/>
    <n v="1"/>
  </r>
  <r>
    <n v="6"/>
    <n v="165"/>
    <s v="WSWR"/>
    <m/>
    <x v="1"/>
    <m/>
    <d v="2026-08-01T00:00:00"/>
    <x v="1"/>
    <x v="0"/>
    <n v="1"/>
  </r>
  <r>
    <n v="7"/>
    <n v="105"/>
    <s v="T16R5"/>
    <m/>
    <x v="4"/>
    <m/>
    <d v="2026-08-01T00:00:00"/>
    <x v="3"/>
    <x v="1"/>
    <n v="3"/>
  </r>
  <r>
    <n v="8"/>
    <n v="166"/>
    <s v="S7852"/>
    <m/>
    <x v="5"/>
    <m/>
    <d v="2026-08-01T00:00:00"/>
    <x v="1"/>
    <x v="1"/>
    <n v="2"/>
  </r>
  <r>
    <n v="9"/>
    <n v="167"/>
    <s v="T4427"/>
    <m/>
    <x v="6"/>
    <m/>
    <d v="2026-08-01T00:00:00"/>
    <x v="3"/>
    <x v="1"/>
    <n v="3"/>
  </r>
  <r>
    <n v="10"/>
    <n v="168"/>
    <s v="N11F3R"/>
    <m/>
    <x v="6"/>
    <m/>
    <d v="2026-08-01T00:00:00"/>
    <x v="1"/>
    <x v="1"/>
    <n v="3"/>
  </r>
  <r>
    <n v="11"/>
    <n v="169"/>
    <s v="T1698R"/>
    <m/>
    <x v="7"/>
    <m/>
    <d v="2026-08-01T00:00:00"/>
    <x v="3"/>
    <x v="1"/>
    <n v="2"/>
  </r>
  <r>
    <n v="12"/>
    <n v="180"/>
    <s v="CAMPURAN"/>
    <m/>
    <x v="7"/>
    <m/>
    <d v="2026-08-01T00:00:00"/>
    <x v="1"/>
    <x v="2"/>
    <n v="3"/>
  </r>
  <r>
    <n v="13"/>
    <n v="181"/>
    <s v="N2784"/>
    <m/>
    <x v="8"/>
    <m/>
    <d v="2026-08-01T00:00:00"/>
    <x v="1"/>
    <x v="2"/>
    <n v="1"/>
  </r>
  <r>
    <n v="14"/>
    <n v="79"/>
    <s v="N2784"/>
    <m/>
    <x v="1"/>
    <m/>
    <d v="2026-08-01T00:00:00"/>
    <x v="1"/>
    <x v="2"/>
    <n v="2"/>
  </r>
  <r>
    <n v="15"/>
    <n v="182"/>
    <s v="T16R5"/>
    <m/>
    <x v="8"/>
    <m/>
    <d v="2026-08-01T00:00:00"/>
    <x v="3"/>
    <x v="2"/>
    <n v="1"/>
  </r>
  <r>
    <n v="16"/>
    <n v="183"/>
    <s v="N11F3R"/>
    <m/>
    <x v="8"/>
    <m/>
    <d v="2026-08-01T00:00:00"/>
    <x v="1"/>
    <x v="2"/>
    <n v="1"/>
  </r>
  <r>
    <n v="17"/>
    <n v="184"/>
    <s v="T4427"/>
    <m/>
    <x v="8"/>
    <m/>
    <d v="2026-08-01T00:00:00"/>
    <x v="2"/>
    <x v="2"/>
    <n v="1"/>
  </r>
  <r>
    <n v="18"/>
    <n v="185"/>
    <s v="T4427"/>
    <m/>
    <x v="8"/>
    <m/>
    <d v="2026-08-01T00:00:00"/>
    <x v="1"/>
    <x v="2"/>
    <n v="2"/>
  </r>
  <r>
    <n v="19"/>
    <n v="82"/>
    <s v="T4427"/>
    <m/>
    <x v="8"/>
    <m/>
    <d v="2026-08-01T00:00:00"/>
    <x v="1"/>
    <x v="2"/>
    <n v="1"/>
  </r>
  <r>
    <n v="20"/>
    <n v="17009"/>
    <s v="K16V5"/>
    <m/>
    <x v="1"/>
    <m/>
    <d v="2026-06-29T00:00:00"/>
    <x v="1"/>
    <x v="3"/>
    <n v="4"/>
  </r>
  <r>
    <n v="21"/>
    <n v="17326"/>
    <s v="T4427"/>
    <m/>
    <x v="8"/>
    <m/>
    <d v="2026-08-01T00:00:00"/>
    <x v="1"/>
    <x v="3"/>
    <n v="4"/>
  </r>
  <r>
    <n v="22"/>
    <n v="17196"/>
    <s v="T4427"/>
    <m/>
    <x v="9"/>
    <m/>
    <d v="2026-08-01T00:00:00"/>
    <x v="4"/>
    <x v="3"/>
    <n v="1"/>
  </r>
  <r>
    <n v="23"/>
    <n v="186"/>
    <s v="T4427"/>
    <m/>
    <x v="8"/>
    <m/>
    <d v="2026-08-01T00:00:00"/>
    <x v="2"/>
    <x v="3"/>
    <n v="2"/>
  </r>
  <r>
    <n v="24"/>
    <n v="187"/>
    <s v="N11F3R"/>
    <m/>
    <x v="8"/>
    <m/>
    <d v="2026-08-01T00:00:00"/>
    <x v="1"/>
    <x v="3"/>
    <n v="2"/>
  </r>
  <r>
    <n v="25"/>
    <n v="85"/>
    <s v="N11F3R"/>
    <m/>
    <x v="8"/>
    <m/>
    <d v="2026-08-01T00:00:00"/>
    <x v="0"/>
    <x v="3"/>
    <n v="2"/>
  </r>
  <r>
    <n v="26"/>
    <n v="188"/>
    <s v="B1026R"/>
    <m/>
    <x v="8"/>
    <m/>
    <d v="2026-08-01T00:00:00"/>
    <x v="2"/>
    <x v="3"/>
    <n v="1"/>
  </r>
  <r>
    <n v="27"/>
    <n v="189"/>
    <s v="WSWR"/>
    <m/>
    <x v="1"/>
    <m/>
    <d v="2026-08-01T00:00:00"/>
    <x v="1"/>
    <x v="3"/>
    <n v="2"/>
  </r>
  <r>
    <n v="28"/>
    <n v="190"/>
    <s v="WSWR"/>
    <m/>
    <x v="1"/>
    <m/>
    <d v="2026-08-01T00:00:00"/>
    <x v="1"/>
    <x v="3"/>
    <n v="2"/>
  </r>
  <r>
    <n v="29"/>
    <n v="114"/>
    <s v="N11F3R"/>
    <m/>
    <x v="8"/>
    <m/>
    <d v="2026-07-21T00:00:00"/>
    <x v="3"/>
    <x v="3"/>
    <n v="2"/>
  </r>
  <r>
    <n v="30"/>
    <n v="79"/>
    <s v="N2784"/>
    <m/>
    <x v="8"/>
    <m/>
    <d v="2026-07-15T00:00:00"/>
    <x v="5"/>
    <x v="4"/>
    <n v="2"/>
  </r>
  <r>
    <n v="31"/>
    <n v="122"/>
    <s v="T1698R"/>
    <m/>
    <x v="1"/>
    <m/>
    <d v="2026-07-22T00:00:00"/>
    <x v="3"/>
    <x v="3"/>
    <n v="2"/>
  </r>
  <r>
    <n v="32"/>
    <n v="126"/>
    <s v="T1698R"/>
    <m/>
    <x v="8"/>
    <m/>
    <d v="2026-07-22T00:00:00"/>
    <x v="5"/>
    <x v="4"/>
    <n v="2"/>
  </r>
  <r>
    <n v="33"/>
    <n v="136"/>
    <s v="N2784R"/>
    <m/>
    <x v="8"/>
    <m/>
    <d v="2026-07-25T00:00:00"/>
    <x v="1"/>
    <x v="4"/>
    <n v="2"/>
  </r>
  <r>
    <n v="34"/>
    <n v="145"/>
    <s v="N1785R"/>
    <m/>
    <x v="8"/>
    <m/>
    <d v="2026-07-27T00:00:00"/>
    <x v="3"/>
    <x v="3"/>
    <n v="2"/>
  </r>
  <r>
    <n v="35"/>
    <n v="146"/>
    <s v="N1785R"/>
    <m/>
    <x v="8"/>
    <m/>
    <d v="2026-07-27T00:00:00"/>
    <x v="5"/>
    <x v="4"/>
    <n v="2"/>
  </r>
  <r>
    <n v="36"/>
    <n v="147"/>
    <s v="N1785R"/>
    <m/>
    <x v="8"/>
    <m/>
    <d v="2026-07-27T00:00:00"/>
    <x v="3"/>
    <x v="3"/>
    <n v="2"/>
  </r>
  <r>
    <n v="37"/>
    <n v="149"/>
    <s v="N11F3R"/>
    <m/>
    <x v="8"/>
    <m/>
    <d v="2026-07-27T00:00:00"/>
    <x v="3"/>
    <x v="3"/>
    <n v="2"/>
  </r>
  <r>
    <n v="38"/>
    <n v="17015"/>
    <s v="N1785R"/>
    <m/>
    <x v="8"/>
    <m/>
    <d v="2026-08-01T00:00:00"/>
    <x v="3"/>
    <x v="3"/>
    <n v="2"/>
  </r>
  <r>
    <n v="39"/>
    <n v="170"/>
    <s v="N1785R"/>
    <m/>
    <x v="8"/>
    <m/>
    <d v="2026-08-01T00:00:00"/>
    <x v="3"/>
    <x v="3"/>
    <n v="2"/>
  </r>
  <r>
    <n v="40"/>
    <n v="171"/>
    <s v="B1026R"/>
    <m/>
    <x v="8"/>
    <m/>
    <d v="2026-08-01T00:00:00"/>
    <x v="3"/>
    <x v="3"/>
    <n v="2"/>
  </r>
  <r>
    <n v="41"/>
    <n v="172"/>
    <s v="N1785R"/>
    <m/>
    <x v="8"/>
    <m/>
    <d v="2026-08-01T00:00:00"/>
    <x v="6"/>
    <x v="4"/>
    <n v="2"/>
  </r>
  <r>
    <n v="42"/>
    <n v="173"/>
    <s v="N1785R"/>
    <m/>
    <x v="8"/>
    <m/>
    <d v="2026-08-01T00:00:00"/>
    <x v="1"/>
    <x v="3"/>
    <n v="2"/>
  </r>
  <r>
    <n v="43"/>
    <n v="174"/>
    <s v="N11F3R"/>
    <m/>
    <x v="8"/>
    <m/>
    <d v="2026-08-01T00:00:00"/>
    <x v="3"/>
    <x v="3"/>
    <n v="2"/>
  </r>
  <r>
    <n v="44"/>
    <n v="175"/>
    <s v="N11F3R"/>
    <m/>
    <x v="8"/>
    <m/>
    <d v="2026-08-01T00:00:00"/>
    <x v="1"/>
    <x v="3"/>
    <n v="2"/>
  </r>
  <r>
    <n v="45"/>
    <n v="176"/>
    <s v="N11F3R"/>
    <m/>
    <x v="8"/>
    <m/>
    <d v="2026-08-01T00:00:00"/>
    <x v="3"/>
    <x v="3"/>
    <n v="2"/>
  </r>
  <r>
    <n v="46"/>
    <n v="177"/>
    <s v="T16R5"/>
    <m/>
    <x v="8"/>
    <m/>
    <d v="2026-08-01T00:00:00"/>
    <x v="3"/>
    <x v="3"/>
    <n v="2"/>
  </r>
  <r>
    <n v="47"/>
    <n v="178"/>
    <s v="N1785R"/>
    <m/>
    <x v="8"/>
    <m/>
    <d v="2026-08-01T00:00:00"/>
    <x v="2"/>
    <x v="3"/>
    <n v="2"/>
  </r>
  <r>
    <n v="48"/>
    <n v="179"/>
    <s v="K16V5"/>
    <m/>
    <x v="1"/>
    <m/>
    <d v="2026-08-01T00:00:00"/>
    <x v="1"/>
    <x v="4"/>
    <n v="2"/>
  </r>
  <r>
    <n v="49"/>
    <n v="156"/>
    <s v="S003R"/>
    <m/>
    <x v="10"/>
    <m/>
    <d v="2026-08-01T00:00:00"/>
    <x v="1"/>
    <x v="5"/>
    <n v="2"/>
  </r>
  <r>
    <n v="50"/>
    <n v="153"/>
    <s v="S003R"/>
    <m/>
    <x v="10"/>
    <m/>
    <d v="2026-08-01T00:00:00"/>
    <x v="1"/>
    <x v="5"/>
    <n v="2"/>
  </r>
  <r>
    <n v="51"/>
    <n v="152"/>
    <s v="S003R"/>
    <m/>
    <x v="10"/>
    <m/>
    <d v="2026-08-01T00:00:00"/>
    <x v="1"/>
    <x v="5"/>
    <n v="2"/>
  </r>
  <r>
    <n v="52"/>
    <n v="17271"/>
    <s v="S003R"/>
    <m/>
    <x v="10"/>
    <m/>
    <d v="2026-08-01T00:00:00"/>
    <x v="3"/>
    <x v="5"/>
    <n v="2"/>
  </r>
  <r>
    <n v="53"/>
    <n v="140"/>
    <s v="B337X"/>
    <m/>
    <x v="5"/>
    <m/>
    <d v="2026-07-26T00:00:00"/>
    <x v="1"/>
    <x v="4"/>
    <n v="1"/>
  </r>
  <r>
    <n v="54"/>
    <n v="151"/>
    <s v="T4427"/>
    <m/>
    <x v="5"/>
    <m/>
    <d v="2026-07-28T00:00:00"/>
    <x v="1"/>
    <x v="4"/>
    <n v="1"/>
  </r>
  <r>
    <n v="55"/>
    <n v="148"/>
    <s v="K771H"/>
    <m/>
    <x v="8"/>
    <m/>
    <d v="2026-07-27T00:00:00"/>
    <x v="3"/>
    <x v="3"/>
    <n v="1"/>
  </r>
  <r>
    <n v="56"/>
    <n v="17007"/>
    <s v="N1785R"/>
    <m/>
    <x v="8"/>
    <m/>
    <d v="2026-07-21T00:00:00"/>
    <x v="4"/>
    <x v="3"/>
    <n v="1"/>
  </r>
  <r>
    <n v="57"/>
    <n v="116"/>
    <s v="N1785R"/>
    <m/>
    <x v="8"/>
    <m/>
    <d v="2026-07-21T00:00:00"/>
    <x v="4"/>
    <x v="3"/>
    <n v="2"/>
  </r>
  <r>
    <n v="58"/>
    <n v="94"/>
    <s v="K941A"/>
    <m/>
    <x v="8"/>
    <m/>
    <d v="2026-07-23T00:00:00"/>
    <x v="2"/>
    <x v="3"/>
    <n v="1"/>
  </r>
  <r>
    <n v="59"/>
    <n v="127"/>
    <s v="N11F3R"/>
    <m/>
    <x v="8"/>
    <m/>
    <d v="2026-07-23T00:00:00"/>
    <x v="4"/>
    <x v="3"/>
    <n v="1"/>
  </r>
  <r>
    <n v="60"/>
    <n v="138"/>
    <s v="N11F3R"/>
    <m/>
    <x v="8"/>
    <m/>
    <d v="2026-07-26T00:00:00"/>
    <x v="5"/>
    <x v="3"/>
    <n v="1"/>
  </r>
  <r>
    <n v="61"/>
    <n v="141"/>
    <s v="N11F3R"/>
    <m/>
    <x v="8"/>
    <m/>
    <d v="2026-07-26T00:00:00"/>
    <x v="7"/>
    <x v="3"/>
    <n v="1"/>
  </r>
  <r>
    <n v="62"/>
    <n v="142"/>
    <s v="G5126"/>
    <m/>
    <x v="8"/>
    <m/>
    <d v="2026-07-26T00:00:00"/>
    <x v="3"/>
    <x v="3"/>
    <n v="1"/>
  </r>
  <r>
    <n v="63"/>
    <n v="17277"/>
    <s v="T16R5R"/>
    <m/>
    <x v="11"/>
    <d v="2026-08-03T00:00:00"/>
    <d v="2026-08-04T00:00:00"/>
    <x v="5"/>
    <x v="4"/>
    <n v="1"/>
  </r>
  <r>
    <n v="64"/>
    <n v="197"/>
    <s v="N11F3R"/>
    <m/>
    <x v="8"/>
    <d v="2026-08-05T00:00:00"/>
    <d v="2026-08-06T00:00:00"/>
    <x v="6"/>
    <x v="4"/>
    <n v="1"/>
  </r>
  <r>
    <n v="65"/>
    <n v="205"/>
    <s v="T1698R"/>
    <m/>
    <x v="8"/>
    <d v="2026-08-05T00:00:00"/>
    <d v="2026-08-06T00:00:00"/>
    <x v="0"/>
    <x v="4"/>
    <n v="3"/>
  </r>
  <r>
    <n v="66"/>
    <n v="206"/>
    <s v="N11F3"/>
    <m/>
    <x v="8"/>
    <d v="2026-08-06T00:00:00"/>
    <d v="2026-08-06T00:00:00"/>
    <x v="3"/>
    <x v="3"/>
    <n v="1"/>
  </r>
  <r>
    <n v="67"/>
    <n v="207"/>
    <s v="T1698R"/>
    <m/>
    <x v="8"/>
    <d v="2026-08-06T00:00:00"/>
    <d v="2026-08-06T00:00:00"/>
    <x v="3"/>
    <x v="3"/>
    <n v="1"/>
  </r>
  <r>
    <n v="68"/>
    <n v="208"/>
    <s v="N1785"/>
    <m/>
    <x v="8"/>
    <d v="2026-08-06T00:00:00"/>
    <d v="2026-08-06T00:00:00"/>
    <x v="0"/>
    <x v="4"/>
    <n v="1"/>
  </r>
  <r>
    <n v="69"/>
    <n v="209"/>
    <s v="N1785"/>
    <m/>
    <x v="8"/>
    <d v="2026-08-06T00:00:00"/>
    <d v="2026-08-06T00:00:00"/>
    <x v="3"/>
    <x v="3"/>
    <n v="2"/>
  </r>
  <r>
    <n v="70"/>
    <n v="210"/>
    <s v="N1785R"/>
    <m/>
    <x v="1"/>
    <d v="2026-08-06T00:00:00"/>
    <d v="2026-08-06T00:00:00"/>
    <x v="8"/>
    <x v="4"/>
    <n v="2"/>
  </r>
  <r>
    <n v="71"/>
    <n v="211"/>
    <s v="B1026R"/>
    <m/>
    <x v="8"/>
    <d v="2026-08-06T00:00:00"/>
    <d v="2026-08-06T00:00:00"/>
    <x v="3"/>
    <x v="3"/>
    <n v="1"/>
  </r>
  <r>
    <n v="72"/>
    <n v="219"/>
    <s v="K633R"/>
    <m/>
    <x v="8"/>
    <m/>
    <d v="2026-08-07T00:00:00"/>
    <x v="3"/>
    <x v="3"/>
    <n v="1"/>
  </r>
  <r>
    <n v="73"/>
    <n v="218"/>
    <s v="G7204"/>
    <m/>
    <x v="12"/>
    <m/>
    <d v="2026-08-07T00:00:00"/>
    <x v="3"/>
    <x v="6"/>
    <n v="1"/>
  </r>
  <r>
    <n v="74"/>
    <n v="221"/>
    <s v="T16R5"/>
    <m/>
    <x v="8"/>
    <d v="2026-08-07T00:00:00"/>
    <d v="2026-08-10T00:00:00"/>
    <x v="4"/>
    <x v="4"/>
    <n v="1"/>
  </r>
  <r>
    <n v="75"/>
    <n v="222"/>
    <s v="G5126"/>
    <m/>
    <x v="8"/>
    <d v="2026-08-07T00:00:00"/>
    <d v="2026-08-10T00:00:00"/>
    <x v="1"/>
    <x v="4"/>
    <n v="1"/>
  </r>
  <r>
    <n v="76"/>
    <n v="223"/>
    <s v="N11F3R"/>
    <m/>
    <x v="8"/>
    <d v="2026-08-07T00:00:00"/>
    <d v="2026-08-10T00:00:00"/>
    <x v="3"/>
    <x v="3"/>
    <n v="1"/>
  </r>
  <r>
    <n v="77"/>
    <n v="224"/>
    <s v="N11F3"/>
    <m/>
    <x v="8"/>
    <d v="2026-08-07T00:00:00"/>
    <d v="2026-08-10T00:00:00"/>
    <x v="6"/>
    <x v="4"/>
    <n v="1"/>
  </r>
  <r>
    <n v="78"/>
    <n v="225"/>
    <s v="T16R5"/>
    <m/>
    <x v="8"/>
    <d v="2026-08-07T00:00:00"/>
    <d v="2026-08-10T00:00:00"/>
    <x v="6"/>
    <x v="4"/>
    <n v="1"/>
  </r>
  <r>
    <n v="79"/>
    <n v="226"/>
    <s v="T4427"/>
    <m/>
    <x v="8"/>
    <d v="2026-08-10T00:00:00"/>
    <d v="2026-08-11T00:00:00"/>
    <x v="3"/>
    <x v="3"/>
    <n v="1"/>
  </r>
  <r>
    <n v="80"/>
    <n v="227"/>
    <s v="T16R5"/>
    <m/>
    <x v="8"/>
    <d v="2026-08-10T00:00:00"/>
    <d v="2026-08-11T00:00:00"/>
    <x v="4"/>
    <x v="4"/>
    <n v="1"/>
  </r>
  <r>
    <n v="81"/>
    <n v="228"/>
    <s v="T16R5"/>
    <m/>
    <x v="8"/>
    <d v="2026-08-10T00:00:00"/>
    <d v="2026-08-11T00:00:00"/>
    <x v="3"/>
    <x v="3"/>
    <n v="1"/>
  </r>
  <r>
    <n v="82"/>
    <n v="229"/>
    <s v="K844A"/>
    <m/>
    <x v="8"/>
    <d v="2026-08-10T00:00:00"/>
    <d v="2026-08-11T00:00:00"/>
    <x v="3"/>
    <x v="3"/>
    <n v="1"/>
  </r>
  <r>
    <n v="83"/>
    <n v="230"/>
    <s v="N11F3"/>
    <m/>
    <x v="8"/>
    <d v="2026-08-10T00:00:00"/>
    <d v="2026-08-11T00:00:00"/>
    <x v="3"/>
    <x v="3"/>
    <n v="1"/>
  </r>
  <r>
    <n v="84"/>
    <n v="231"/>
    <s v="F4111"/>
    <m/>
    <x v="12"/>
    <m/>
    <d v="2026-08-11T00:00:00"/>
    <x v="3"/>
    <x v="6"/>
    <n v="1"/>
  </r>
  <r>
    <n v="85"/>
    <n v="232"/>
    <s v="F4111"/>
    <m/>
    <x v="12"/>
    <m/>
    <d v="2026-08-11T00:00:00"/>
    <x v="4"/>
    <x v="4"/>
    <n v="1"/>
  </r>
  <r>
    <n v="86"/>
    <n v="233"/>
    <s v="F4111"/>
    <m/>
    <x v="12"/>
    <m/>
    <d v="2026-08-11T00:00:00"/>
    <x v="4"/>
    <x v="4"/>
    <n v="1"/>
  </r>
  <r>
    <n v="87"/>
    <n v="234"/>
    <s v="T1698R"/>
    <m/>
    <x v="8"/>
    <d v="2026-08-10T00:00:00"/>
    <d v="2026-08-11T00:00:00"/>
    <x v="3"/>
    <x v="3"/>
    <n v="1"/>
  </r>
  <r>
    <n v="88"/>
    <n v="235"/>
    <s v="T4427"/>
    <m/>
    <x v="8"/>
    <d v="2026-08-10T00:00:00"/>
    <d v="2026-08-11T00:00:00"/>
    <x v="3"/>
    <x v="3"/>
    <n v="3"/>
  </r>
  <r>
    <n v="89"/>
    <n v="236"/>
    <s v="B1026R"/>
    <m/>
    <x v="8"/>
    <d v="2026-08-10T00:00:00"/>
    <d v="2026-08-11T00:00:00"/>
    <x v="2"/>
    <x v="3"/>
    <n v="1"/>
  </r>
  <r>
    <n v="90"/>
    <n v="237"/>
    <s v="N11F3"/>
    <m/>
    <x v="8"/>
    <d v="2026-08-10T00:00:00"/>
    <d v="2026-08-11T00:00:00"/>
    <x v="1"/>
    <x v="3"/>
    <n v="2"/>
  </r>
  <r>
    <n v="91"/>
    <n v="238"/>
    <s v="N11F3"/>
    <m/>
    <x v="8"/>
    <d v="2026-08-11T00:00:00"/>
    <d v="2026-08-12T00:00:00"/>
    <x v="3"/>
    <x v="4"/>
    <n v="2"/>
  </r>
  <r>
    <n v="92"/>
    <n v="111"/>
    <s v="S003R"/>
    <m/>
    <x v="10"/>
    <m/>
    <d v="2026-07-20T00:00:00"/>
    <x v="1"/>
    <x v="0"/>
    <n v="1"/>
  </r>
  <r>
    <n v="93"/>
    <n v="239"/>
    <s v="T1698"/>
    <m/>
    <x v="8"/>
    <m/>
    <d v="2026-07-20T00:00:00"/>
    <x v="1"/>
    <x v="3"/>
    <n v="1"/>
  </r>
  <r>
    <n v="94"/>
    <n v="240"/>
    <s v="N1785"/>
    <m/>
    <x v="8"/>
    <m/>
    <d v="2026-07-20T00:00:00"/>
    <x v="1"/>
    <x v="3"/>
    <n v="1"/>
  </r>
  <r>
    <n v="95"/>
    <n v="1"/>
    <s v="K83T4"/>
    <m/>
    <x v="1"/>
    <m/>
    <d v="2026-07-20T00:00:00"/>
    <x v="1"/>
    <x v="3"/>
    <n v="1"/>
  </r>
  <r>
    <n v="96"/>
    <n v="241"/>
    <s v="N11F3"/>
    <m/>
    <x v="8"/>
    <m/>
    <d v="2026-07-20T00:00:00"/>
    <x v="2"/>
    <x v="3"/>
    <n v="1"/>
  </r>
  <r>
    <n v="97"/>
    <n v="242"/>
    <s v="K96H6"/>
    <m/>
    <x v="1"/>
    <m/>
    <d v="2026-07-20T00:00:00"/>
    <x v="1"/>
    <x v="3"/>
    <n v="1"/>
  </r>
  <r>
    <n v="98"/>
    <n v="243"/>
    <s v="T1698"/>
    <m/>
    <x v="8"/>
    <m/>
    <d v="2026-07-20T00:00:00"/>
    <x v="1"/>
    <x v="3"/>
    <n v="1"/>
  </r>
  <r>
    <n v="99"/>
    <n v="11796"/>
    <s v="T4427"/>
    <m/>
    <x v="13"/>
    <m/>
    <d v="2026-07-20T00:00:00"/>
    <x v="1"/>
    <x v="3"/>
    <n v="1"/>
  </r>
  <r>
    <n v="100"/>
    <s v="NO ID"/>
    <s v="NO ID"/>
    <m/>
    <x v="14"/>
    <m/>
    <d v="2026-07-20T00:00:00"/>
    <x v="1"/>
    <x v="7"/>
    <n v="1"/>
  </r>
  <r>
    <n v="101"/>
    <s v="NO ID"/>
    <s v="NO ID"/>
    <m/>
    <x v="14"/>
    <m/>
    <d v="2026-07-20T00:00:00"/>
    <x v="1"/>
    <x v="7"/>
    <n v="1"/>
  </r>
  <r>
    <n v="102"/>
    <s v="NO ID"/>
    <s v="NO ID"/>
    <m/>
    <x v="14"/>
    <m/>
    <d v="2026-07-20T00:00:00"/>
    <x v="1"/>
    <x v="7"/>
    <n v="1"/>
  </r>
  <r>
    <n v="103"/>
    <s v="NO ID"/>
    <s v="NO ID"/>
    <m/>
    <x v="14"/>
    <m/>
    <d v="2026-07-20T00:00:00"/>
    <x v="1"/>
    <x v="7"/>
    <n v="1"/>
  </r>
  <r>
    <n v="104"/>
    <s v="NO ID"/>
    <s v="NO ID"/>
    <m/>
    <x v="14"/>
    <m/>
    <d v="2026-07-20T00:00:00"/>
    <x v="1"/>
    <x v="7"/>
    <n v="1"/>
  </r>
  <r>
    <n v="105"/>
    <s v="NO ID"/>
    <s v="NO ID"/>
    <m/>
    <x v="14"/>
    <m/>
    <d v="2026-07-20T00:00:00"/>
    <x v="1"/>
    <x v="7"/>
    <n v="1"/>
  </r>
  <r>
    <n v="106"/>
    <s v="NO ID"/>
    <s v="NO ID"/>
    <m/>
    <x v="14"/>
    <m/>
    <d v="2026-07-20T00:00:00"/>
    <x v="1"/>
    <x v="7"/>
    <n v="1"/>
  </r>
  <r>
    <n v="107"/>
    <n v="244"/>
    <s v="K941A"/>
    <m/>
    <x v="8"/>
    <d v="2026-08-12T00:00:00"/>
    <d v="2026-08-13T00:00:00"/>
    <x v="1"/>
    <x v="4"/>
    <n v="1"/>
  </r>
  <r>
    <n v="108"/>
    <n v="245"/>
    <s v="B1578"/>
    <m/>
    <x v="8"/>
    <d v="2026-08-12T00:00:00"/>
    <d v="2026-08-13T00:00:00"/>
    <x v="8"/>
    <x v="3"/>
    <n v="1"/>
  </r>
  <r>
    <n v="109"/>
    <n v="246"/>
    <s v="K844A"/>
    <m/>
    <x v="8"/>
    <d v="2026-08-12T00:00:00"/>
    <d v="2026-08-13T00:00:00"/>
    <x v="1"/>
    <x v="3"/>
    <n v="1"/>
  </r>
  <r>
    <n v="110"/>
    <n v="247"/>
    <s v="T16R5R"/>
    <m/>
    <x v="1"/>
    <d v="2026-08-12T00:00:00"/>
    <d v="2026-08-13T00:00:00"/>
    <x v="1"/>
    <x v="3"/>
    <n v="1"/>
  </r>
  <r>
    <n v="111"/>
    <n v="248"/>
    <s v="T1698R"/>
    <m/>
    <x v="8"/>
    <d v="2026-08-12T00:00:00"/>
    <d v="2026-08-13T00:00:00"/>
    <x v="8"/>
    <x v="3"/>
    <n v="1"/>
  </r>
  <r>
    <n v="112"/>
    <n v="249"/>
    <s v="T4427"/>
    <m/>
    <x v="8"/>
    <d v="2026-08-12T00:00:00"/>
    <d v="2026-08-13T00:00:00"/>
    <x v="8"/>
    <x v="3"/>
    <n v="1"/>
  </r>
  <r>
    <n v="113"/>
    <n v="250"/>
    <s v="T7131"/>
    <m/>
    <x v="8"/>
    <d v="2026-08-12T00:00:00"/>
    <d v="2026-08-13T00:00:00"/>
    <x v="1"/>
    <x v="4"/>
    <n v="1"/>
  </r>
  <r>
    <n v="114"/>
    <n v="251"/>
    <s v="N1785"/>
    <m/>
    <x v="1"/>
    <d v="2026-08-12T00:00:00"/>
    <d v="2026-08-13T00:00:00"/>
    <x v="1"/>
    <x v="4"/>
    <n v="1"/>
  </r>
  <r>
    <n v="115"/>
    <n v="252"/>
    <s v="T7131"/>
    <m/>
    <x v="8"/>
    <d v="2026-08-13T00:00:00"/>
    <d v="2026-08-13T00:00:00"/>
    <x v="8"/>
    <x v="3"/>
    <n v="1"/>
  </r>
  <r>
    <n v="116"/>
    <n v="253"/>
    <s v="T7131"/>
    <m/>
    <x v="8"/>
    <d v="2026-08-13T00:00:00"/>
    <d v="2026-08-13T00:00:00"/>
    <x v="8"/>
    <x v="3"/>
    <n v="1"/>
  </r>
  <r>
    <n v="117"/>
    <n v="262"/>
    <s v="T16R5"/>
    <m/>
    <x v="1"/>
    <m/>
    <d v="2026-08-14T00:00:00"/>
    <x v="1"/>
    <x v="4"/>
    <n v="1"/>
  </r>
  <r>
    <n v="118"/>
    <n v="266"/>
    <s v="N11F3"/>
    <m/>
    <x v="8"/>
    <m/>
    <d v="2026-08-14T00:00:00"/>
    <x v="2"/>
    <x v="4"/>
    <n v="1"/>
  </r>
  <r>
    <n v="119"/>
    <n v="267"/>
    <s v="T16R5"/>
    <m/>
    <x v="8"/>
    <m/>
    <d v="2026-08-14T00:00:00"/>
    <x v="1"/>
    <x v="4"/>
    <n v="1"/>
  </r>
  <r>
    <n v="120"/>
    <n v="268"/>
    <s v="T7131"/>
    <m/>
    <x v="8"/>
    <m/>
    <d v="2026-08-14T00:00:00"/>
    <x v="2"/>
    <x v="4"/>
    <n v="1"/>
  </r>
  <r>
    <n v="121"/>
    <n v="269"/>
    <s v="T7131"/>
    <m/>
    <x v="8"/>
    <m/>
    <d v="2026-08-14T00:00:00"/>
    <x v="2"/>
    <x v="4"/>
    <n v="1"/>
  </r>
  <r>
    <n v="122"/>
    <n v="270"/>
    <s v="S888R"/>
    <m/>
    <x v="15"/>
    <m/>
    <d v="2026-08-14T00:00:00"/>
    <x v="1"/>
    <x v="3"/>
    <n v="1"/>
  </r>
  <r>
    <n v="123"/>
    <n v="271"/>
    <s v="K269A"/>
    <m/>
    <x v="1"/>
    <m/>
    <m/>
    <x v="1"/>
    <x v="3"/>
    <m/>
  </r>
  <r>
    <n v="124"/>
    <n v="254"/>
    <s v="K96H6"/>
    <m/>
    <x v="16"/>
    <m/>
    <m/>
    <x v="1"/>
    <x v="1"/>
    <m/>
  </r>
  <r>
    <n v="125"/>
    <n v="255"/>
    <m/>
    <m/>
    <x v="16"/>
    <m/>
    <m/>
    <x v="1"/>
    <x v="1"/>
    <m/>
  </r>
  <r>
    <n v="126"/>
    <n v="256"/>
    <m/>
    <m/>
    <x v="16"/>
    <m/>
    <m/>
    <x v="1"/>
    <x v="1"/>
    <m/>
  </r>
  <r>
    <n v="127"/>
    <n v="257"/>
    <m/>
    <m/>
    <x v="16"/>
    <m/>
    <m/>
    <x v="1"/>
    <x v="1"/>
    <m/>
  </r>
  <r>
    <n v="128"/>
    <n v="258"/>
    <m/>
    <m/>
    <x v="16"/>
    <m/>
    <m/>
    <x v="1"/>
    <x v="1"/>
    <m/>
  </r>
  <r>
    <n v="129"/>
    <n v="259"/>
    <m/>
    <m/>
    <x v="16"/>
    <m/>
    <m/>
    <x v="1"/>
    <x v="1"/>
    <m/>
  </r>
  <r>
    <m/>
    <n v="260"/>
    <m/>
    <m/>
    <x v="16"/>
    <m/>
    <m/>
    <x v="1"/>
    <x v="1"/>
    <m/>
  </r>
  <r>
    <m/>
    <n v="261"/>
    <m/>
    <m/>
    <x v="16"/>
    <m/>
    <m/>
    <x v="1"/>
    <x v="1"/>
    <m/>
  </r>
  <r>
    <m/>
    <m/>
    <m/>
    <m/>
    <x v="16"/>
    <m/>
    <m/>
    <x v="1"/>
    <x v="8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n v="1"/>
    <n v="17183"/>
    <s v="T1698"/>
    <m/>
    <s v="-"/>
    <x v="0"/>
    <s v="Pakai di EXT (Congkel)"/>
    <d v="2026-06-28T00:00:00"/>
    <x v="0"/>
  </r>
  <r>
    <n v="2"/>
    <n v="17182"/>
    <s v="S7852"/>
    <m/>
    <s v="-"/>
    <x v="0"/>
    <s v="Pakai di BB (Congkel)"/>
    <d v="2026-06-27T00:00:00"/>
    <x v="0"/>
  </r>
  <r>
    <n v="3"/>
    <n v="17187"/>
    <s v="S003R"/>
    <m/>
    <s v="-"/>
    <x v="0"/>
    <s v="Sbg S6R52 max 10 kg/lot"/>
    <d v="2026-06-27T00:00:00"/>
    <x v="0"/>
  </r>
  <r>
    <n v="4"/>
    <n v="17218"/>
    <s v="N1785"/>
    <m/>
    <s v="-"/>
    <x v="0"/>
    <s v="Pakai di EXT"/>
    <d v="2026-06-29T00:00:00"/>
    <x v="0"/>
  </r>
  <r>
    <n v="5"/>
    <n v="17204"/>
    <s v="S003R"/>
    <m/>
    <s v="-"/>
    <x v="0"/>
    <s v="Sbg S6R52 max 10 kg/bt"/>
    <d v="2026-06-29T00:00:00"/>
    <x v="0"/>
  </r>
  <r>
    <n v="6"/>
    <n v="17202"/>
    <s v="S003R"/>
    <m/>
    <s v="-"/>
    <x v="0"/>
    <s v="Sbg S6R52 max 10 kg/bt"/>
    <d v="2026-06-28T00:00:00"/>
    <x v="0"/>
  </r>
  <r>
    <n v="7"/>
    <n v="17184"/>
    <s v="N1785"/>
    <m/>
    <s v="-"/>
    <x v="0"/>
    <s v="Pakai di EXT"/>
    <d v="2026-06-28T00:00:00"/>
    <x v="0"/>
  </r>
  <r>
    <n v="8"/>
    <n v="17189"/>
    <s v="WSWR"/>
    <m/>
    <s v="-"/>
    <x v="0"/>
    <s v="Giling di EXT"/>
    <d v="2026-06-29T00:00:00"/>
    <x v="0"/>
  </r>
  <r>
    <n v="9"/>
    <n v="17181"/>
    <s v="N2784"/>
    <m/>
    <s v="-"/>
    <x v="0"/>
    <s v="Pakai di EXT"/>
    <d v="2026-06-29T00:00:00"/>
    <x v="0"/>
  </r>
  <r>
    <n v="10"/>
    <n v="17199"/>
    <s v="T4427R"/>
    <m/>
    <s v="-"/>
    <x v="0"/>
    <s v="Pakai di EXT"/>
    <d v="2026-06-28T00:00:00"/>
    <x v="0"/>
  </r>
  <r>
    <n v="11"/>
    <n v="17173"/>
    <s v="T1698R"/>
    <m/>
    <s v="29-06-26"/>
    <x v="1"/>
    <s v="Pakai di EXT"/>
    <d v="2026-07-01T00:00:00"/>
    <x v="1"/>
  </r>
  <r>
    <n v="12"/>
    <n v="17175"/>
    <s v="N2784"/>
    <m/>
    <s v="29-06-26"/>
    <x v="1"/>
    <s v="Pakai di EXT"/>
    <d v="2026-07-01T00:00:00"/>
    <x v="1"/>
  </r>
  <r>
    <n v="13"/>
    <n v="17177"/>
    <s v="T16R5"/>
    <m/>
    <s v="30-06-26"/>
    <x v="1"/>
    <s v="Pakai di EXT"/>
    <d v="2026-07-01T00:00:00"/>
    <x v="1"/>
  </r>
  <r>
    <n v="14"/>
    <n v="17170"/>
    <s v="T1698"/>
    <m/>
    <s v="-"/>
    <x v="1"/>
    <s v="Pakai di EXT"/>
    <d v="2026-07-01T00:00:00"/>
    <x v="1"/>
  </r>
  <r>
    <n v="15"/>
    <n v="17172"/>
    <s v="T16R5"/>
    <m/>
    <s v="30-06-26"/>
    <x v="1"/>
    <s v="Pakai di EXT"/>
    <d v="2026-07-01T00:00:00"/>
    <x v="1"/>
  </r>
  <r>
    <n v="18"/>
    <n v="17220"/>
    <s v="S003R"/>
    <m/>
    <s v="-"/>
    <x v="0"/>
    <s v="Sbg S6R52 10 kg/bt"/>
    <s v="-"/>
    <x v="2"/>
  </r>
  <r>
    <n v="19"/>
    <n v="17173"/>
    <s v="T1698"/>
    <m/>
    <d v="2026-07-07T00:00:00"/>
    <x v="1"/>
    <s v="Pakai di EXT"/>
    <d v="2026-07-07T00:00:00"/>
    <x v="3"/>
  </r>
  <r>
    <n v="20"/>
    <n v="17174"/>
    <s v="B1578R"/>
    <m/>
    <s v="21-06-26"/>
    <x v="0"/>
    <s v="Pakai di 4 Roll"/>
    <d v="2026-07-02T00:00:00"/>
    <x v="4"/>
  </r>
  <r>
    <n v="21"/>
    <n v="1011"/>
    <s v="F740A"/>
    <m/>
    <s v="27-06-25"/>
    <x v="0"/>
    <s v="Pakai di 4 Roll"/>
    <m/>
    <x v="1"/>
  </r>
  <r>
    <n v="23"/>
    <n v="17223"/>
    <s v="T16R5"/>
    <m/>
    <s v="-"/>
    <x v="2"/>
    <s v="Potong (butuh 5-7 OK)"/>
    <d v="2026-07-02T00:00:00"/>
    <x v="1"/>
  </r>
  <r>
    <n v="25"/>
    <n v="17185"/>
    <s v="T4427"/>
    <m/>
    <s v="-"/>
    <x v="1"/>
    <s v="Congkel"/>
    <d v="2026-07-01T00:00:00"/>
    <x v="0"/>
  </r>
  <r>
    <n v="27"/>
    <n v="17013"/>
    <s v="N1785"/>
    <m/>
    <s v="-"/>
    <x v="0"/>
    <s v="Giling di EXT"/>
    <d v="2026-06-29T00:00:00"/>
    <x v="5"/>
  </r>
  <r>
    <n v="28"/>
    <n v="17016"/>
    <s v="N1785"/>
    <m/>
    <s v="-"/>
    <x v="0"/>
    <s v="Pakai di EXT"/>
    <d v="2026-06-29T00:00:00"/>
    <x v="5"/>
  </r>
  <r>
    <n v="29"/>
    <n v="17005"/>
    <s v="N11F3"/>
    <m/>
    <s v="-"/>
    <x v="0"/>
    <s v="Pakai di EXT"/>
    <d v="2026-06-28T00:00:00"/>
    <x v="5"/>
  </r>
  <r>
    <n v="30"/>
    <n v="17176"/>
    <s v="N11F3"/>
    <m/>
    <s v="-"/>
    <x v="0"/>
    <s v="Pakai di EXT"/>
    <d v="2026-07-02T00:00:00"/>
    <x v="4"/>
  </r>
  <r>
    <n v="31"/>
    <n v="17186"/>
    <s v="T16R5"/>
    <m/>
    <s v="30-06-26"/>
    <x v="0"/>
    <s v="Pakai di EXT"/>
    <d v="2026-07-03T00:00:00"/>
    <x v="6"/>
  </r>
  <r>
    <n v="32"/>
    <n v="17188"/>
    <s v="T4427"/>
    <m/>
    <s v="-"/>
    <x v="0"/>
    <s v="Pakai di EXT"/>
    <s v="-"/>
    <x v="6"/>
  </r>
  <r>
    <n v="33"/>
    <n v="17190"/>
    <s v="N1785"/>
    <m/>
    <s v="-"/>
    <x v="0"/>
    <s v="Pakai di EXT"/>
    <d v="2026-07-02T00:00:00"/>
    <x v="6"/>
  </r>
  <r>
    <n v="34"/>
    <n v="17194"/>
    <s v="T4427"/>
    <m/>
    <s v="-"/>
    <x v="0"/>
    <s v="Pakai di EXT"/>
    <d v="2026-07-02T00:00:00"/>
    <x v="6"/>
  </r>
  <r>
    <n v="35"/>
    <n v="17192"/>
    <s v="N11F3"/>
    <m/>
    <s v="-"/>
    <x v="0"/>
    <s v="Pakai di EXT"/>
    <d v="2026-07-02T00:00:00"/>
    <x v="6"/>
  </r>
  <r>
    <n v="36"/>
    <s v="17225 (New)"/>
    <s v="T7131"/>
    <m/>
    <s v="-"/>
    <x v="2"/>
    <s v="Pakai di EXT"/>
    <s v="-"/>
    <x v="1"/>
  </r>
  <r>
    <n v="37"/>
    <n v="1"/>
    <s v="K83T4"/>
    <m/>
    <s v="-"/>
    <x v="2"/>
    <s v="Giling di EXT"/>
    <d v="2026-07-03T00:00:00"/>
    <x v="6"/>
  </r>
  <r>
    <n v="38"/>
    <n v="2"/>
    <s v="T1698"/>
    <m/>
    <s v="-"/>
    <x v="2"/>
    <s v="Pakai di EXT"/>
    <d v="2026-07-02T00:00:00"/>
    <x v="6"/>
  </r>
  <r>
    <n v="39"/>
    <n v="3"/>
    <s v="T4427"/>
    <m/>
    <s v="-"/>
    <x v="2"/>
    <s v="Pakai di EXT"/>
    <d v="2026-07-03T00:00:00"/>
    <x v="6"/>
  </r>
  <r>
    <n v="40"/>
    <n v="4"/>
    <s v="T16R5"/>
    <m/>
    <s v="-"/>
    <x v="2"/>
    <s v="Giling di Extruder"/>
    <d v="2026-07-03T00:00:00"/>
    <x v="6"/>
  </r>
  <r>
    <n v="41"/>
    <n v="5"/>
    <s v="N1785"/>
    <m/>
    <s v="-"/>
    <x v="1"/>
    <s v="Congkel"/>
    <d v="2026-07-02T00:00:00"/>
    <x v="4"/>
  </r>
  <r>
    <n v="42"/>
    <n v="17235"/>
    <s v="B1026"/>
    <m/>
    <s v="-"/>
    <x v="1"/>
    <s v="Congkel"/>
    <d v="2026-07-02T00:00:00"/>
    <x v="4"/>
  </r>
  <r>
    <n v="43"/>
    <n v="17259"/>
    <s v="N1785"/>
    <m/>
    <s v="-"/>
    <x v="2"/>
    <s v="Restacking"/>
    <d v="2026-07-03T00:00:00"/>
    <x v="6"/>
  </r>
  <r>
    <n v="44"/>
    <n v="6"/>
    <s v="T4427R"/>
    <m/>
    <s v="-"/>
    <x v="2"/>
    <s v="Restacking"/>
    <d v="2026-07-03T00:00:00"/>
    <x v="6"/>
  </r>
  <r>
    <n v="45"/>
    <n v="7"/>
    <s v="T16R5"/>
    <m/>
    <s v="-"/>
    <x v="1"/>
    <s v="Pakai di EXT"/>
    <d v="2026-07-03T00:00:00"/>
    <x v="6"/>
  </r>
  <r>
    <n v="46"/>
    <n v="8"/>
    <s v="K83T4"/>
    <m/>
    <s v="-"/>
    <x v="1"/>
    <s v="Congkel"/>
    <d v="2026-07-03T00:00:00"/>
    <x v="6"/>
  </r>
  <r>
    <n v="47"/>
    <n v="9"/>
    <s v="N2784"/>
    <m/>
    <s v="-"/>
    <x v="1"/>
    <s v="Congkel"/>
    <d v="2026-07-03T00:00:00"/>
    <x v="6"/>
  </r>
  <r>
    <n v="48"/>
    <n v="10"/>
    <s v="T7131"/>
    <m/>
    <s v="-"/>
    <x v="2"/>
    <s v="Remill"/>
    <d v="2026-07-03T00:00:00"/>
    <x v="6"/>
  </r>
  <r>
    <n v="49"/>
    <n v="11"/>
    <s v="T4427"/>
    <m/>
    <s v="-"/>
    <x v="2"/>
    <s v="Pakai di EXT"/>
    <d v="2026-07-03T00:00:00"/>
    <x v="6"/>
  </r>
  <r>
    <n v="50"/>
    <n v="12"/>
    <s v="N11F3"/>
    <m/>
    <s v="-"/>
    <x v="2"/>
    <s v="Restacking"/>
    <d v="2026-07-04T00:00:00"/>
    <x v="7"/>
  </r>
  <r>
    <n v="51"/>
    <n v="13"/>
    <s v="B1578"/>
    <m/>
    <s v="-"/>
    <x v="1"/>
    <s v="Giling di 4 Roll"/>
    <d v="2026-07-04T00:00:00"/>
    <x v="7"/>
  </r>
  <r>
    <n v="52"/>
    <n v="14"/>
    <s v="T16R5"/>
    <m/>
    <s v="-"/>
    <x v="2"/>
    <s v="Pakai di EXT"/>
    <d v="2026-07-04T00:00:00"/>
    <x v="8"/>
  </r>
  <r>
    <n v="53"/>
    <n v="11"/>
    <s v="N11F3"/>
    <m/>
    <s v="-"/>
    <x v="2"/>
    <s v="Pakai di EXT"/>
    <d v="2026-07-04T00:00:00"/>
    <x v="8"/>
  </r>
  <r>
    <n v="54"/>
    <n v="5"/>
    <s v="N1785"/>
    <m/>
    <s v="-"/>
    <x v="2"/>
    <s v="Giling di EXT"/>
    <d v="2026-07-03T00:00:00"/>
    <x v="6"/>
  </r>
  <r>
    <n v="55"/>
    <n v="17"/>
    <s v="K83T4"/>
    <m/>
    <s v="-"/>
    <x v="2"/>
    <s v="Giling di EXT"/>
    <d v="2026-07-04T00:00:00"/>
    <x v="8"/>
  </r>
  <r>
    <n v="56"/>
    <n v="18"/>
    <s v="N11F3"/>
    <m/>
    <s v="-"/>
    <x v="1"/>
    <s v="Pakai di EXT"/>
    <d v="2026-07-04T00:00:00"/>
    <x v="8"/>
  </r>
  <r>
    <n v="57"/>
    <n v="15"/>
    <s v="N1785"/>
    <m/>
    <s v="-"/>
    <x v="1"/>
    <s v="Pakai di EXT"/>
    <d v="2026-07-04T00:00:00"/>
    <x v="8"/>
  </r>
  <r>
    <n v="58"/>
    <n v="16"/>
    <s v="N11F3"/>
    <m/>
    <s v="SM240"/>
    <x v="1"/>
    <s v="Pakai di EXT"/>
    <d v="2026-07-04T00:00:00"/>
    <x v="8"/>
  </r>
  <r>
    <n v="59"/>
    <n v="21"/>
    <s v="T16R5"/>
    <m/>
    <s v="-"/>
    <x v="2"/>
    <s v="Pakai di EXT"/>
    <d v="2026-07-06T00:00:00"/>
    <x v="8"/>
  </r>
  <r>
    <n v="60"/>
    <n v="22"/>
    <s v="B1026"/>
    <m/>
    <s v="-"/>
    <x v="2"/>
    <s v="Pakai di EXT"/>
    <d v="2026-07-06T00:00:00"/>
    <x v="8"/>
  </r>
  <r>
    <n v="61"/>
    <n v="25"/>
    <s v="N11F3"/>
    <m/>
    <d v="2026-02-07T00:00:00"/>
    <x v="1"/>
    <s v="Pakai di EXT"/>
    <s v="-"/>
    <x v="3"/>
  </r>
  <r>
    <n v="62"/>
    <n v="26"/>
    <s v="T1698"/>
    <m/>
    <s v="-"/>
    <x v="1"/>
    <s v="Pakai di EXT"/>
    <s v="-"/>
    <x v="3"/>
  </r>
  <r>
    <n v="63"/>
    <n v="17259"/>
    <s v="N1785"/>
    <m/>
    <s v="-"/>
    <x v="2"/>
    <s v="Pakai di EXT"/>
    <d v="2026-07-03T00:00:00"/>
    <x v="6"/>
  </r>
  <r>
    <n v="64"/>
    <n v="20"/>
    <s v="T1698"/>
    <m/>
    <s v="-"/>
    <x v="2"/>
    <s v="Pakai di EXT"/>
    <s v="-"/>
    <x v="9"/>
  </r>
  <r>
    <n v="65"/>
    <n v="12011"/>
    <s v="N1785"/>
    <m/>
    <s v="SM173"/>
    <x v="1"/>
    <s v="Pakai di EXT"/>
    <s v="-"/>
    <x v="5"/>
  </r>
  <r>
    <n v="66"/>
    <n v="23"/>
    <s v="T16R5"/>
    <m/>
    <s v="-"/>
    <x v="2"/>
    <s v="Pakai di EXT"/>
    <s v="-"/>
    <x v="8"/>
  </r>
  <r>
    <n v="67"/>
    <n v="27"/>
    <s v="B1026"/>
    <m/>
    <m/>
    <x v="1"/>
    <s v="Pickle Out, Pakai di EXT"/>
    <d v="2026-07-07T00:00:00"/>
    <x v="9"/>
  </r>
  <r>
    <n v="68"/>
    <n v="30"/>
    <s v="B1026"/>
    <m/>
    <s v="-"/>
    <x v="2"/>
    <s v="Giling &amp; Pakai EXT"/>
    <d v="2026-07-09T00:00:00"/>
    <x v="10"/>
  </r>
  <r>
    <n v="69"/>
    <n v="31"/>
    <s v="B1026"/>
    <m/>
    <s v="-"/>
    <x v="1"/>
    <s v="Pakai di EXT"/>
    <d v="2026-07-09T00:00:00"/>
    <x v="10"/>
  </r>
  <r>
    <n v="70"/>
    <n v="33"/>
    <s v="B337X"/>
    <m/>
    <s v="26/06/26"/>
    <x v="1"/>
    <s v="Pakai di UB"/>
    <d v="2026-07-09T00:00:00"/>
    <x v="10"/>
  </r>
  <r>
    <n v="71"/>
    <n v="34"/>
    <s v="N1785"/>
    <m/>
    <s v="26/06/26"/>
    <x v="1"/>
    <s v="Pakai di EXT"/>
    <d v="2026-07-09T00:00:00"/>
    <x v="10"/>
  </r>
  <r>
    <n v="72"/>
    <n v="35"/>
    <s v="N11F3"/>
    <m/>
    <d v="2026-06-06T00:00:00"/>
    <x v="2"/>
    <s v="Pakai di EXT"/>
    <d v="2026-07-09T00:00:00"/>
    <x v="10"/>
  </r>
  <r>
    <n v="73"/>
    <n v="36"/>
    <s v="T4427"/>
    <m/>
    <d v="2026-07-07T00:00:00"/>
    <x v="2"/>
    <s v="Pakai di EXT"/>
    <d v="2026-07-09T00:00:00"/>
    <x v="10"/>
  </r>
  <r>
    <n v="74"/>
    <n v="37"/>
    <s v="T1698R"/>
    <m/>
    <s v="-"/>
    <x v="2"/>
    <s v="Pakai di EXT"/>
    <d v="2026-07-09T00:00:00"/>
    <x v="10"/>
  </r>
  <r>
    <n v="75"/>
    <n v="38"/>
    <s v="N1785"/>
    <m/>
    <d v="2026-07-07T00:00:00"/>
    <x v="2"/>
    <s v="Pakai di EXT"/>
    <d v="2026-07-08T00:00:00"/>
    <x v="10"/>
  </r>
  <r>
    <n v="76"/>
    <n v="39"/>
    <s v="N2784"/>
    <m/>
    <d v="2026-08-07T00:00:00"/>
    <x v="1"/>
    <s v="Pakai di EXT"/>
    <d v="2026-07-09T00:00:00"/>
    <x v="10"/>
  </r>
  <r>
    <n v="77"/>
    <n v="42"/>
    <s v="T1698R"/>
    <m/>
    <s v="-"/>
    <x v="1"/>
    <s v="Pakai di EXT"/>
    <d v="2026-07-09T00:00:00"/>
    <x v="10"/>
  </r>
  <r>
    <n v="78"/>
    <n v="43"/>
    <s v="T1698R"/>
    <m/>
    <s v="-"/>
    <x v="1"/>
    <s v="Pakai di EXT"/>
    <d v="2026-07-09T00:00:00"/>
    <x v="10"/>
  </r>
  <r>
    <n v="79"/>
    <n v="44"/>
    <s v="T4427"/>
    <m/>
    <d v="2026-03-07T00:00:00"/>
    <x v="2"/>
    <s v="Restacking (OK) → Pakai EXT"/>
    <d v="2026-07-09T00:00:00"/>
    <x v="10"/>
  </r>
  <r>
    <n v="80"/>
    <n v="46"/>
    <s v="B1578"/>
    <m/>
    <s v="-"/>
    <x v="1"/>
    <s v="Congkel"/>
    <d v="2026-07-10T00:00:00"/>
    <x v="11"/>
  </r>
  <r>
    <n v="81"/>
    <n v="50"/>
    <s v="B1578"/>
    <m/>
    <m/>
    <x v="1"/>
    <s v="OK"/>
    <d v="2026-07-10T00:00:00"/>
    <x v="2"/>
  </r>
  <r>
    <n v="82"/>
    <n v="51"/>
    <s v="B1578"/>
    <m/>
    <m/>
    <x v="1"/>
    <s v="Pakai di 4 Roll"/>
    <d v="2026-07-10T00:00:00"/>
    <x v="11"/>
  </r>
  <r>
    <n v="83"/>
    <n v="52"/>
    <s v="B1026"/>
    <m/>
    <m/>
    <x v="1"/>
    <s v="Pakai tread"/>
    <d v="2026-07-10T00:00:00"/>
    <x v="11"/>
  </r>
  <r>
    <n v="84"/>
    <n v="53"/>
    <s v="T4427"/>
    <m/>
    <m/>
    <x v="1"/>
    <s v="Restacking"/>
    <d v="2026-07-10T00:00:00"/>
    <x v="11"/>
  </r>
  <r>
    <n v="85"/>
    <n v="49"/>
    <s v="N11F3"/>
    <m/>
    <m/>
    <x v="1"/>
    <s v="Congkel"/>
    <d v="2026-07-10T00:00:00"/>
    <x v="10"/>
  </r>
  <r>
    <n v="86"/>
    <n v="1770"/>
    <s v="T1698"/>
    <m/>
    <m/>
    <x v="1"/>
    <s v="Congkel"/>
    <d v="2026-07-10T00:00:00"/>
    <x v="2"/>
  </r>
  <r>
    <n v="87"/>
    <s v="-"/>
    <s v="T7131"/>
    <m/>
    <m/>
    <x v="2"/>
    <s v="Restacking"/>
    <d v="2026-07-10T00:00:00"/>
    <x v="2"/>
  </r>
  <r>
    <n v="88"/>
    <n v="49"/>
    <s v="N11F3"/>
    <m/>
    <m/>
    <x v="2"/>
    <s v="Restacking"/>
    <d v="2026-07-10T00:00:00"/>
    <x v="2"/>
  </r>
  <r>
    <n v="89"/>
    <n v="54"/>
    <s v="T1698"/>
    <m/>
    <m/>
    <x v="2"/>
    <s v="Pakai di EXT"/>
    <d v="2026-07-11T00:00:00"/>
    <x v="12"/>
  </r>
  <r>
    <n v="90"/>
    <s v="-"/>
    <s v="G7204"/>
    <m/>
    <m/>
    <x v="2"/>
    <s v="OK"/>
    <d v="2026-07-11T00:00:00"/>
    <x v="12"/>
  </r>
  <r>
    <n v="91"/>
    <n v="55"/>
    <s v="N11F3"/>
    <m/>
    <m/>
    <x v="2"/>
    <s v="OK"/>
    <d v="2026-07-11T00:00:00"/>
    <x v="12"/>
  </r>
  <r>
    <n v="92"/>
    <n v="56"/>
    <s v="N11F3"/>
    <m/>
    <m/>
    <x v="2"/>
    <s v="OK"/>
    <d v="2026-07-11T00:00:00"/>
    <x v="12"/>
  </r>
  <r>
    <n v="93"/>
    <n v="54"/>
    <s v="T4427"/>
    <m/>
    <s v="-"/>
    <x v="2"/>
    <s v="Pakai di EXT"/>
    <d v="2026-07-11T00:00:00"/>
    <x v="12"/>
  </r>
  <r>
    <n v="94"/>
    <n v="55"/>
    <s v="N11F3"/>
    <m/>
    <s v="-"/>
    <x v="2"/>
    <s v="Pakai di EXT"/>
    <d v="2026-07-11T00:00:00"/>
    <x v="12"/>
  </r>
  <r>
    <n v="95"/>
    <n v="56"/>
    <s v="N11F3"/>
    <m/>
    <s v="-"/>
    <x v="2"/>
    <s v="Pakai di EXT"/>
    <d v="2026-07-11T00:00:00"/>
    <x v="12"/>
  </r>
  <r>
    <n v="96"/>
    <n v="40"/>
    <s v="N2784"/>
    <m/>
    <s v="-"/>
    <x v="1"/>
    <s v="Pakai di EXT"/>
    <d v="2026-07-11T00:00:00"/>
    <x v="12"/>
  </r>
  <r>
    <n v="97"/>
    <s v="-"/>
    <s v="G7204"/>
    <m/>
    <d v="2026-07-11T00:00:00"/>
    <x v="2"/>
    <s v="Restacking"/>
    <d v="2026-07-11T00:00:00"/>
    <x v="2"/>
  </r>
  <r>
    <n v="98"/>
    <s v="-"/>
    <s v="K771H"/>
    <m/>
    <d v="2026-07-08T00:00:00"/>
    <x v="2"/>
    <s v="Restacking"/>
    <d v="2026-07-11T00:00:00"/>
    <x v="2"/>
  </r>
  <r>
    <n v="99"/>
    <s v="-"/>
    <s v="K771H"/>
    <m/>
    <d v="2026-07-08T00:00:00"/>
    <x v="2"/>
    <s v="Restacking"/>
    <d v="2026-07-11T00:00:00"/>
    <x v="2"/>
  </r>
  <r>
    <n v="100"/>
    <m/>
    <s v="T1698"/>
    <m/>
    <d v="2026-07-11T00:00:00"/>
    <x v="2"/>
    <s v="Restacking"/>
    <d v="2026-07-11T00:00:00"/>
    <x v="2"/>
  </r>
  <r>
    <n v="101"/>
    <n v="59"/>
    <s v="N11F3"/>
    <m/>
    <m/>
    <x v="2"/>
    <s v="Restacking"/>
    <m/>
    <x v="13"/>
  </r>
  <r>
    <n v="102"/>
    <n v="60"/>
    <s v="N11F3"/>
    <m/>
    <m/>
    <x v="2"/>
    <s v="Restacking"/>
    <m/>
    <x v="13"/>
  </r>
  <r>
    <n v="103"/>
    <n v="61"/>
    <s v="N11F3"/>
    <m/>
    <m/>
    <x v="2"/>
    <s v="Restacking"/>
    <m/>
    <x v="13"/>
  </r>
  <r>
    <n v="104"/>
    <n v="62"/>
    <s v="N11F3"/>
    <m/>
    <m/>
    <x v="2"/>
    <s v="Restacking"/>
    <m/>
    <x v="13"/>
  </r>
  <r>
    <n v="105"/>
    <n v="63"/>
    <s v="T1698R"/>
    <m/>
    <m/>
    <x v="2"/>
    <s v="Restacking"/>
    <m/>
    <x v="13"/>
  </r>
  <r>
    <n v="106"/>
    <n v="64"/>
    <s v="T1698R"/>
    <m/>
    <m/>
    <x v="2"/>
    <s v="Restacking"/>
    <m/>
    <x v="13"/>
  </r>
  <r>
    <n v="107"/>
    <n v="65"/>
    <s v="T1698"/>
    <m/>
    <m/>
    <x v="2"/>
    <s v="Restacking"/>
    <m/>
    <x v="13"/>
  </r>
  <r>
    <n v="108"/>
    <n v="66"/>
    <s v="T1698"/>
    <m/>
    <m/>
    <x v="2"/>
    <s v="Restacking"/>
    <m/>
    <x v="13"/>
  </r>
  <r>
    <n v="109"/>
    <n v="67"/>
    <s v="T4427"/>
    <m/>
    <m/>
    <x v="2"/>
    <s v="Restacking"/>
    <m/>
    <x v="13"/>
  </r>
  <r>
    <n v="110"/>
    <n v="68"/>
    <s v="T1698"/>
    <m/>
    <m/>
    <x v="2"/>
    <s v="Restacking"/>
    <m/>
    <x v="13"/>
  </r>
  <r>
    <n v="111"/>
    <n v="69"/>
    <s v="T4427"/>
    <m/>
    <m/>
    <x v="2"/>
    <s v="Restacking"/>
    <m/>
    <x v="13"/>
  </r>
  <r>
    <n v="112"/>
    <n v="74"/>
    <s v="B337X"/>
    <m/>
    <m/>
    <x v="1"/>
    <s v="Congkel"/>
    <m/>
    <x v="14"/>
  </r>
  <r>
    <n v="113"/>
    <n v="81"/>
    <s v="N11F3R"/>
    <m/>
    <m/>
    <x v="2"/>
    <s v="Restacking"/>
    <m/>
    <x v="14"/>
  </r>
  <r>
    <n v="114"/>
    <n v="80"/>
    <s v="T7131"/>
    <m/>
    <m/>
    <x v="2"/>
    <s v="Restacking"/>
    <m/>
    <x v="14"/>
  </r>
  <r>
    <n v="115"/>
    <n v="79"/>
    <s v="N2784"/>
    <m/>
    <m/>
    <x v="1"/>
    <s v="Giling Pakai Di extruder"/>
    <d v="2026-07-14T00:00:00"/>
    <x v="14"/>
  </r>
  <r>
    <n v="116"/>
    <n v="64"/>
    <s v="T1698R"/>
    <m/>
    <m/>
    <x v="1"/>
    <s v="Pakai di EXT"/>
    <d v="2026-07-15T00:00:00"/>
    <x v="15"/>
  </r>
  <r>
    <n v="117"/>
    <n v="69"/>
    <s v="T4427"/>
    <m/>
    <m/>
    <x v="2"/>
    <s v="Pakai di EXT"/>
    <d v="2026-07-15T00:00:00"/>
    <x v="15"/>
  </r>
  <r>
    <n v="118"/>
    <n v="67"/>
    <s v="T4427"/>
    <m/>
    <m/>
    <x v="2"/>
    <s v="Pakai di EXT"/>
    <d v="2026-07-15T00:00:00"/>
    <x v="15"/>
  </r>
  <r>
    <n v="119"/>
    <n v="82"/>
    <s v="T4427R"/>
    <m/>
    <m/>
    <x v="2"/>
    <s v="Restacking"/>
    <m/>
    <x v="15"/>
  </r>
  <r>
    <n v="120"/>
    <n v="83"/>
    <s v="T7131"/>
    <m/>
    <m/>
    <x v="2"/>
    <s v="Restacking"/>
    <m/>
    <x v="15"/>
  </r>
  <r>
    <n v="121"/>
    <n v="84"/>
    <s v="T4427"/>
    <m/>
    <m/>
    <x v="2"/>
    <s v="Restacking"/>
    <m/>
    <x v="15"/>
  </r>
  <r>
    <n v="122"/>
    <n v="85"/>
    <s v="N11F3"/>
    <m/>
    <m/>
    <x v="2"/>
    <s v="Restacking"/>
    <m/>
    <x v="15"/>
  </r>
  <r>
    <n v="123"/>
    <n v="86"/>
    <s v="T7131"/>
    <m/>
    <m/>
    <x v="2"/>
    <s v="Restacking"/>
    <m/>
    <x v="15"/>
  </r>
  <r>
    <n v="124"/>
    <n v="87"/>
    <s v="T7131"/>
    <m/>
    <m/>
    <x v="2"/>
    <s v="Restacking"/>
    <m/>
    <x v="15"/>
  </r>
  <r>
    <n v="125"/>
    <n v="88"/>
    <s v="T7131"/>
    <m/>
    <m/>
    <x v="2"/>
    <s v="Restacking"/>
    <m/>
    <x v="15"/>
  </r>
  <r>
    <m/>
    <m/>
    <m/>
    <m/>
    <m/>
    <x v="0"/>
    <m/>
    <m/>
    <x v="16"/>
  </r>
  <r>
    <n v="127"/>
    <n v="90"/>
    <s v="K941AR"/>
    <m/>
    <m/>
    <x v="2"/>
    <s v="Restacking"/>
    <m/>
    <x v="15"/>
  </r>
  <r>
    <n v="128"/>
    <n v="91"/>
    <s v="N11F3"/>
    <m/>
    <m/>
    <x v="2"/>
    <s v="Restacking"/>
    <m/>
    <x v="15"/>
  </r>
  <r>
    <n v="129"/>
    <n v="93"/>
    <s v="T7131"/>
    <m/>
    <m/>
    <x v="2"/>
    <s v="Restacking"/>
    <m/>
    <x v="17"/>
  </r>
  <r>
    <n v="130"/>
    <n v="94"/>
    <s v="G7204"/>
    <m/>
    <m/>
    <x v="2"/>
    <s v="Restacking"/>
    <m/>
    <x v="17"/>
  </r>
  <r>
    <n v="131"/>
    <n v="95"/>
    <s v="T4427R"/>
    <m/>
    <m/>
    <x v="2"/>
    <s v="Restacking"/>
    <m/>
    <x v="17"/>
  </r>
  <r>
    <n v="132"/>
    <n v="96"/>
    <s v="T1698R"/>
    <m/>
    <m/>
    <x v="2"/>
    <s v="Restacking"/>
    <m/>
    <x v="17"/>
  </r>
  <r>
    <n v="133"/>
    <n v="97"/>
    <s v="N11F3R"/>
    <m/>
    <m/>
    <x v="2"/>
    <s v="Restacking"/>
    <m/>
    <x v="18"/>
  </r>
  <r>
    <n v="134"/>
    <n v="98"/>
    <s v="N11F3R"/>
    <m/>
    <m/>
    <x v="2"/>
    <s v="Restacking"/>
    <m/>
    <x v="19"/>
  </r>
  <r>
    <n v="135"/>
    <n v="99"/>
    <s v="K941AR"/>
    <m/>
    <m/>
    <x v="2"/>
    <s v="Restacking"/>
    <m/>
    <x v="19"/>
  </r>
  <r>
    <n v="136"/>
    <n v="100"/>
    <s v="T4427R"/>
    <m/>
    <m/>
    <x v="2"/>
    <s v="Restacking"/>
    <m/>
    <x v="19"/>
  </r>
  <r>
    <n v="137"/>
    <n v="101"/>
    <s v="K941AR"/>
    <m/>
    <m/>
    <x v="2"/>
    <s v="Restacking"/>
    <m/>
    <x v="19"/>
  </r>
  <r>
    <n v="138"/>
    <m/>
    <s v="T7131"/>
    <m/>
    <m/>
    <x v="2"/>
    <s v="Restacking"/>
    <m/>
    <x v="19"/>
  </r>
  <r>
    <n v="139"/>
    <n v="105"/>
    <s v="T16R5"/>
    <m/>
    <m/>
    <x v="2"/>
    <s v="Restacking"/>
    <m/>
    <x v="19"/>
  </r>
  <r>
    <n v="140"/>
    <n v="106"/>
    <s v="N11F3R"/>
    <m/>
    <m/>
    <x v="2"/>
    <s v="Restacking"/>
    <m/>
    <x v="19"/>
  </r>
  <r>
    <n v="141"/>
    <n v="110"/>
    <s v="K633R"/>
    <m/>
    <m/>
    <x v="2"/>
    <s v="Restacking"/>
    <m/>
    <x v="19"/>
  </r>
  <r>
    <n v="142"/>
    <n v="111"/>
    <s v="S003R"/>
    <m/>
    <m/>
    <x v="3"/>
    <s v="sbg cleaner"/>
    <m/>
    <x v="20"/>
  </r>
  <r>
    <n v="143"/>
    <n v="102"/>
    <s v="T4427R"/>
    <m/>
    <m/>
    <x v="2"/>
    <s v="Pakai di EXT"/>
    <m/>
    <x v="20"/>
  </r>
  <r>
    <n v="144"/>
    <n v="103"/>
    <s v="N11F3R"/>
    <m/>
    <m/>
    <x v="2"/>
    <s v="Pakai di EXT"/>
    <m/>
    <x v="20"/>
  </r>
  <r>
    <n v="145"/>
    <n v="104"/>
    <s v="T4427R"/>
    <m/>
    <m/>
    <x v="1"/>
    <s v="Untuk BS"/>
    <m/>
    <x v="20"/>
  </r>
  <r>
    <n v="146"/>
    <n v="108"/>
    <s v="T4427R"/>
    <m/>
    <m/>
    <x v="2"/>
    <s v="Pakai di EXT"/>
    <m/>
    <x v="20"/>
  </r>
  <r>
    <n v="147"/>
    <n v="109"/>
    <s v="T4427R"/>
    <m/>
    <m/>
    <x v="1"/>
    <s v="Untuk BS"/>
    <m/>
    <x v="20"/>
  </r>
  <r>
    <n v="148"/>
    <m/>
    <s v="B1026"/>
    <m/>
    <m/>
    <x v="1"/>
    <s v="SCRAP"/>
    <d v="2026-07-20T00:00:00"/>
    <x v="21"/>
  </r>
  <r>
    <n v="149"/>
    <n v="90"/>
    <s v="K941AR"/>
    <m/>
    <m/>
    <x v="2"/>
    <s v="Pakai di EXT"/>
    <d v="2026-07-20T00:00:00"/>
    <x v="21"/>
  </r>
  <r>
    <n v="150"/>
    <n v="110"/>
    <s v="K633R"/>
    <m/>
    <m/>
    <x v="2"/>
    <s v="Pakai di EXT"/>
    <d v="2026-07-20T00:00:00"/>
    <x v="21"/>
  </r>
  <r>
    <n v="151"/>
    <n v="112"/>
    <s v="K95M6"/>
    <m/>
    <m/>
    <x v="2"/>
    <s v="Pakai di EXT"/>
    <d v="2026-07-20T00:00:00"/>
    <x v="21"/>
  </r>
  <r>
    <n v="152"/>
    <n v="97"/>
    <s v="N11F3"/>
    <m/>
    <m/>
    <x v="2"/>
    <s v="Pakai di EXT"/>
    <d v="2026-07-20T00:00:00"/>
    <x v="21"/>
  </r>
  <r>
    <n v="153"/>
    <n v="113"/>
    <s v="B1026"/>
    <m/>
    <m/>
    <x v="1"/>
    <s v="Pakai di EXT"/>
    <d v="2026-07-20T00:00:00"/>
    <x v="21"/>
  </r>
  <r>
    <n v="154"/>
    <n v="114"/>
    <s v="N11F3"/>
    <m/>
    <m/>
    <x v="2"/>
    <s v="Pakai di EXT"/>
    <d v="2026-07-20T00:00:00"/>
    <x v="21"/>
  </r>
  <r>
    <n v="155"/>
    <n v="116"/>
    <s v="N1785"/>
    <m/>
    <m/>
    <x v="1"/>
    <s v="Pakai di EXT"/>
    <d v="2026-07-20T00:00:00"/>
    <x v="21"/>
  </r>
  <r>
    <n v="156"/>
    <n v="117"/>
    <s v="T4427R"/>
    <m/>
    <m/>
    <x v="1"/>
    <s v="Giling di Extruder"/>
    <d v="2026-07-20T00:00:00"/>
    <x v="21"/>
  </r>
  <r>
    <n v="157"/>
    <n v="118"/>
    <s v="F7894"/>
    <s v="OLD"/>
    <m/>
    <x v="4"/>
    <s v="BIAS SQUEEGEE"/>
    <d v="2026-07-20T00:00:00"/>
    <x v="21"/>
  </r>
  <r>
    <n v="158"/>
    <n v="120"/>
    <s v="B337X"/>
    <m/>
    <m/>
    <x v="1"/>
    <s v="Congkel"/>
    <m/>
    <x v="22"/>
  </r>
  <r>
    <n v="159"/>
    <n v="119"/>
    <s v="T7131"/>
    <m/>
    <m/>
    <x v="2"/>
    <s v="Restacking"/>
    <m/>
    <x v="22"/>
  </r>
  <r>
    <n v="160"/>
    <n v="124"/>
    <s v="N11F3"/>
    <m/>
    <m/>
    <x v="2"/>
    <s v="Restacking"/>
    <m/>
    <x v="22"/>
  </r>
  <r>
    <n v="161"/>
    <n v="121"/>
    <s v="K16D4"/>
    <m/>
    <m/>
    <x v="2"/>
    <s v="Pakai di EXT"/>
    <m/>
    <x v="22"/>
  </r>
  <r>
    <n v="162"/>
    <n v="127"/>
    <s v="N11F3"/>
    <m/>
    <m/>
    <x v="1"/>
    <s v="Congkel"/>
    <m/>
    <x v="23"/>
  </r>
  <r>
    <n v="163"/>
    <n v="128"/>
    <s v="B337X"/>
    <m/>
    <s v="21 jul s3"/>
    <x v="5"/>
    <s v="Restacking"/>
    <m/>
    <x v="23"/>
  </r>
  <r>
    <n v="164"/>
    <n v="129"/>
    <s v="B1026"/>
    <m/>
    <m/>
    <x v="1"/>
    <s v="Congkel"/>
    <m/>
    <x v="23"/>
  </r>
  <r>
    <n v="165"/>
    <n v="131"/>
    <s v="T1698R"/>
    <m/>
    <m/>
    <x v="1"/>
    <s v="Congkel"/>
    <m/>
    <x v="24"/>
  </r>
  <r>
    <n v="166"/>
    <n v="132"/>
    <s v="K771HR"/>
    <m/>
    <m/>
    <x v="1"/>
    <s v="Congkel"/>
    <m/>
    <x v="24"/>
  </r>
  <r>
    <n v="167"/>
    <n v="133"/>
    <s v="B1026"/>
    <m/>
    <m/>
    <x v="1"/>
    <s v="Pakai di EXT"/>
    <m/>
    <x v="25"/>
  </r>
  <r>
    <n v="168"/>
    <n v="134"/>
    <s v="T7131"/>
    <m/>
    <m/>
    <x v="2"/>
    <s v="Restacking"/>
    <m/>
    <x v="25"/>
  </r>
  <r>
    <n v="169"/>
    <n v="139"/>
    <s v="F3146"/>
    <m/>
    <m/>
    <x v="6"/>
    <s v="ODS"/>
    <m/>
    <x v="26"/>
  </r>
  <r>
    <n v="170"/>
    <n v="140"/>
    <s v="B337X"/>
    <m/>
    <m/>
    <x v="1"/>
    <s v="Segregasi"/>
    <m/>
    <x v="26"/>
  </r>
  <r>
    <n v="171"/>
    <n v="141"/>
    <s v="N11F3R"/>
    <m/>
    <m/>
    <x v="3"/>
    <s v="Pakai di EXT"/>
    <d v="2026-07-25T00:00:00"/>
    <x v="26"/>
  </r>
  <r>
    <n v="172"/>
    <n v="142"/>
    <s v="G5126"/>
    <m/>
    <m/>
    <x v="3"/>
    <s v="Pakai di EXT"/>
    <d v="2026-07-25T00:00:00"/>
    <x v="26"/>
  </r>
  <r>
    <n v="173"/>
    <n v="151"/>
    <s v="T4427R"/>
    <m/>
    <m/>
    <x v="1"/>
    <s v="Congkel"/>
    <m/>
    <x v="26"/>
  </r>
  <r>
    <n v="174"/>
    <n v="510"/>
    <s v="N11F3"/>
    <m/>
    <m/>
    <x v="2"/>
    <s v="Restacking"/>
    <m/>
    <x v="27"/>
  </r>
  <r>
    <n v="175"/>
    <n v="17273"/>
    <s v="N1785"/>
    <m/>
    <m/>
    <x v="2"/>
    <s v="Restacking"/>
    <m/>
    <x v="28"/>
  </r>
  <r>
    <n v="176"/>
    <n v="17275"/>
    <s v="T7131"/>
    <m/>
    <m/>
    <x v="1"/>
    <s v="SCRAP"/>
    <m/>
    <x v="28"/>
  </r>
  <r>
    <n v="177"/>
    <n v="191"/>
    <s v="N11F3"/>
    <m/>
    <m/>
    <x v="2"/>
    <s v="Restacking"/>
    <m/>
    <x v="29"/>
  </r>
  <r>
    <n v="178"/>
    <n v="192"/>
    <s v="N11F3"/>
    <m/>
    <m/>
    <x v="2"/>
    <s v="Restacking"/>
    <m/>
    <x v="29"/>
  </r>
  <r>
    <n v="179"/>
    <n v="193"/>
    <s v="N11F3"/>
    <m/>
    <m/>
    <x v="2"/>
    <s v="Restacking"/>
    <m/>
    <x v="29"/>
  </r>
  <r>
    <n v="180"/>
    <n v="194"/>
    <s v="N11F3"/>
    <m/>
    <m/>
    <x v="2"/>
    <s v="Restacking"/>
    <m/>
    <x v="29"/>
  </r>
  <r>
    <n v="181"/>
    <n v="195"/>
    <s v="N11F3"/>
    <m/>
    <m/>
    <x v="2"/>
    <s v="Restacking"/>
    <m/>
    <x v="29"/>
  </r>
  <r>
    <n v="182"/>
    <n v="196"/>
    <s v="B337X"/>
    <m/>
    <m/>
    <x v="7"/>
    <s v="Congkel"/>
    <m/>
    <x v="29"/>
  </r>
  <r>
    <n v="183"/>
    <n v="198"/>
    <s v="T7131"/>
    <m/>
    <m/>
    <x v="2"/>
    <s v="Restacking"/>
    <m/>
    <x v="30"/>
  </r>
  <r>
    <n v="184"/>
    <n v="199"/>
    <s v="T7131"/>
    <m/>
    <m/>
    <x v="2"/>
    <s v="Restacking"/>
    <m/>
    <x v="30"/>
  </r>
  <r>
    <n v="185"/>
    <n v="200"/>
    <s v="T7131"/>
    <m/>
    <m/>
    <x v="2"/>
    <s v="Restacking"/>
    <m/>
    <x v="30"/>
  </r>
  <r>
    <n v="186"/>
    <n v="201"/>
    <s v="T7131"/>
    <m/>
    <m/>
    <x v="2"/>
    <s v="Restacking"/>
    <m/>
    <x v="30"/>
  </r>
  <r>
    <n v="187"/>
    <n v="202"/>
    <s v="B1026"/>
    <m/>
    <m/>
    <x v="8"/>
    <s v="Congkel"/>
    <m/>
    <x v="30"/>
  </r>
  <r>
    <n v="188"/>
    <n v="203"/>
    <s v="T1373R"/>
    <m/>
    <m/>
    <x v="2"/>
    <s v="Restacking"/>
    <m/>
    <x v="30"/>
  </r>
  <r>
    <n v="189"/>
    <n v="204"/>
    <s v="N11F3"/>
    <m/>
    <m/>
    <x v="2"/>
    <s v="Restacking"/>
    <m/>
    <x v="30"/>
  </r>
  <r>
    <n v="190"/>
    <n v="212"/>
    <s v="T4427R"/>
    <m/>
    <m/>
    <x v="1"/>
    <s v="Congkel"/>
    <m/>
    <x v="31"/>
  </r>
  <r>
    <n v="191"/>
    <n v="213"/>
    <s v="T4427R"/>
    <m/>
    <m/>
    <x v="1"/>
    <s v="Congkel"/>
    <m/>
    <x v="31"/>
  </r>
  <r>
    <n v="192"/>
    <n v="214"/>
    <s v="F2471"/>
    <m/>
    <m/>
    <x v="2"/>
    <s v="Restacking"/>
    <m/>
    <x v="31"/>
  </r>
  <r>
    <n v="193"/>
    <n v="215"/>
    <s v="T16R5"/>
    <m/>
    <m/>
    <x v="2"/>
    <s v="Restacking"/>
    <m/>
    <x v="31"/>
  </r>
  <r>
    <n v="194"/>
    <n v="216"/>
    <s v="T16R5"/>
    <m/>
    <m/>
    <x v="2"/>
    <s v="Restacking"/>
    <m/>
    <x v="31"/>
  </r>
  <r>
    <n v="195"/>
    <n v="217"/>
    <s v="T7131"/>
    <m/>
    <m/>
    <x v="2"/>
    <s v="Restacking"/>
    <m/>
    <x v="31"/>
  </r>
  <r>
    <n v="196"/>
    <n v="218"/>
    <s v="G7204"/>
    <m/>
    <m/>
    <x v="1"/>
    <s v="Squeegee Bias"/>
    <m/>
    <x v="31"/>
  </r>
  <r>
    <n v="197"/>
    <n v="220"/>
    <s v="G7204"/>
    <m/>
    <m/>
    <x v="2"/>
    <s v="Restacking"/>
    <m/>
    <x v="31"/>
  </r>
  <r>
    <n v="198"/>
    <m/>
    <s v="T7131"/>
    <m/>
    <m/>
    <x v="2"/>
    <s v="Restacking"/>
    <m/>
    <x v="32"/>
  </r>
  <r>
    <n v="199"/>
    <m/>
    <s v="T7131"/>
    <m/>
    <m/>
    <x v="2"/>
    <s v="Restacking"/>
    <m/>
    <x v="32"/>
  </r>
  <r>
    <n v="200"/>
    <m/>
    <s v="T7131"/>
    <m/>
    <m/>
    <x v="2"/>
    <s v="Restacking"/>
    <m/>
    <x v="32"/>
  </r>
  <r>
    <n v="201"/>
    <m/>
    <s v="T7131"/>
    <m/>
    <m/>
    <x v="2"/>
    <s v="Restacking"/>
    <m/>
    <x v="32"/>
  </r>
  <r>
    <n v="202"/>
    <m/>
    <s v="T7131"/>
    <m/>
    <m/>
    <x v="2"/>
    <s v="Restacking"/>
    <m/>
    <x v="32"/>
  </r>
  <r>
    <n v="203"/>
    <m/>
    <s v="T7131"/>
    <m/>
    <m/>
    <x v="2"/>
    <s v="Restacking"/>
    <m/>
    <x v="32"/>
  </r>
  <r>
    <n v="204"/>
    <m/>
    <s v="N1785"/>
    <m/>
    <m/>
    <x v="2"/>
    <s v="Restacking"/>
    <m/>
    <x v="32"/>
  </r>
  <r>
    <n v="205"/>
    <m/>
    <s v="N11F3"/>
    <m/>
    <m/>
    <x v="2"/>
    <s v="Restacking"/>
    <m/>
    <x v="32"/>
  </r>
  <r>
    <n v="206"/>
    <m/>
    <s v="T16R5"/>
    <m/>
    <m/>
    <x v="2"/>
    <s v="Restacking"/>
    <m/>
    <x v="32"/>
  </r>
  <r>
    <n v="207"/>
    <m/>
    <s v="T16R5"/>
    <m/>
    <m/>
    <x v="2"/>
    <s v="Restacking"/>
    <m/>
    <x v="32"/>
  </r>
  <r>
    <n v="208"/>
    <m/>
    <s v="G5126"/>
    <m/>
    <m/>
    <x v="2"/>
    <s v="Restacking"/>
    <m/>
    <x v="32"/>
  </r>
  <r>
    <n v="209"/>
    <m/>
    <s v="T7131"/>
    <m/>
    <m/>
    <x v="2"/>
    <s v="Restacking"/>
    <m/>
    <x v="33"/>
  </r>
  <r>
    <n v="210"/>
    <m/>
    <s v="T7131"/>
    <m/>
    <m/>
    <x v="2"/>
    <s v="Restacking"/>
    <m/>
    <x v="33"/>
  </r>
  <r>
    <n v="211"/>
    <m/>
    <s v="T7131"/>
    <m/>
    <m/>
    <x v="2"/>
    <s v="Restacking"/>
    <m/>
    <x v="33"/>
  </r>
  <r>
    <n v="212"/>
    <m/>
    <s v="N1785"/>
    <m/>
    <m/>
    <x v="2"/>
    <s v="Restacking"/>
    <m/>
    <x v="33"/>
  </r>
  <r>
    <n v="213"/>
    <m/>
    <s v="T16R5"/>
    <m/>
    <m/>
    <x v="2"/>
    <s v="Restacking"/>
    <m/>
    <x v="34"/>
  </r>
  <r>
    <n v="214"/>
    <m/>
    <s v="T16R5"/>
    <m/>
    <m/>
    <x v="2"/>
    <s v="Restacking"/>
    <m/>
    <x v="34"/>
  </r>
  <r>
    <n v="215"/>
    <m/>
    <s v="K844A"/>
    <m/>
    <m/>
    <x v="2"/>
    <s v="Restacking"/>
    <m/>
    <x v="34"/>
  </r>
  <r>
    <n v="216"/>
    <m/>
    <s v="N11F3"/>
    <m/>
    <m/>
    <x v="2"/>
    <s v="Restacking"/>
    <m/>
    <x v="34"/>
  </r>
  <r>
    <n v="217"/>
    <m/>
    <s v="K941A"/>
    <m/>
    <m/>
    <x v="2"/>
    <s v="Restacking"/>
    <m/>
    <x v="34"/>
  </r>
  <r>
    <n v="218"/>
    <m/>
    <s v="B337X"/>
    <m/>
    <m/>
    <x v="5"/>
    <s v="Slitter/bantu masukkan manual"/>
    <m/>
    <x v="34"/>
  </r>
  <r>
    <n v="219"/>
    <m/>
    <s v="F4111"/>
    <m/>
    <m/>
    <x v="5"/>
    <s v="Slitter/bantu masukkan manual"/>
    <m/>
    <x v="34"/>
  </r>
  <r>
    <n v="220"/>
    <m/>
    <s v="B1578"/>
    <m/>
    <m/>
    <x v="1"/>
    <s v="Congkel"/>
    <m/>
    <x v="34"/>
  </r>
  <r>
    <n v="221"/>
    <m/>
    <s v="T7131"/>
    <m/>
    <m/>
    <x v="2"/>
    <s v="Restacking"/>
    <m/>
    <x v="35"/>
  </r>
  <r>
    <n v="222"/>
    <m/>
    <s v="T7131"/>
    <m/>
    <m/>
    <x v="2"/>
    <s v="Restacking"/>
    <m/>
    <x v="35"/>
  </r>
  <r>
    <n v="223"/>
    <m/>
    <s v="T7131"/>
    <m/>
    <m/>
    <x v="2"/>
    <s v="Restacking"/>
    <m/>
    <x v="35"/>
  </r>
  <r>
    <n v="224"/>
    <m/>
    <s v="T7131"/>
    <m/>
    <m/>
    <x v="2"/>
    <s v="Restacking"/>
    <m/>
    <x v="35"/>
  </r>
  <r>
    <n v="225"/>
    <m/>
    <s v="T7131"/>
    <m/>
    <m/>
    <x v="2"/>
    <s v="Restacking"/>
    <m/>
    <x v="35"/>
  </r>
  <r>
    <n v="226"/>
    <m/>
    <s v="B1578"/>
    <m/>
    <m/>
    <x v="2"/>
    <s v="Restacking"/>
    <m/>
    <x v="35"/>
  </r>
  <r>
    <n v="227"/>
    <m/>
    <s v="G7204"/>
    <m/>
    <m/>
    <x v="2"/>
    <s v="Restacking"/>
    <m/>
    <x v="35"/>
  </r>
  <r>
    <n v="228"/>
    <m/>
    <s v="G7204"/>
    <m/>
    <m/>
    <x v="2"/>
    <s v="Restacking"/>
    <m/>
    <x v="35"/>
  </r>
  <r>
    <n v="229"/>
    <m/>
    <s v="S8571"/>
    <m/>
    <m/>
    <x v="2"/>
    <s v="Restacking"/>
    <m/>
    <x v="35"/>
  </r>
  <r>
    <n v="230"/>
    <m/>
    <s v="N1785 "/>
    <m/>
    <m/>
    <x v="1"/>
    <s v="SCRAP"/>
    <m/>
    <x v="35"/>
  </r>
  <r>
    <m/>
    <m/>
    <m/>
    <m/>
    <m/>
    <x v="0"/>
    <m/>
    <m/>
    <x v="1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139"/>
    <n v="0"/>
    <s v="S71H1"/>
    <m/>
    <x v="0"/>
    <m/>
    <d v="2026-08-20T00:00:00"/>
    <x v="0"/>
    <x v="0"/>
    <n v="3"/>
  </r>
  <r>
    <n v="140"/>
    <n v="0"/>
    <s v="S71H1"/>
    <m/>
    <x v="0"/>
    <m/>
    <d v="2026-08-20T00:00:00"/>
    <x v="0"/>
    <x v="1"/>
    <n v="3"/>
  </r>
  <r>
    <n v="141"/>
    <n v="0"/>
    <s v="S71H1"/>
    <m/>
    <x v="0"/>
    <m/>
    <d v="2026-08-20T00:00:00"/>
    <x v="0"/>
    <x v="2"/>
    <n v="3"/>
  </r>
  <r>
    <n v="150"/>
    <n v="0"/>
    <s v="T16R5"/>
    <m/>
    <x v="0"/>
    <m/>
    <d v="2026-08-21T00:00:00"/>
    <x v="1"/>
    <x v="0"/>
    <n v="3"/>
  </r>
  <r>
    <n v="151"/>
    <n v="0"/>
    <s v="T16R5"/>
    <m/>
    <x v="0"/>
    <m/>
    <d v="2026-08-21T00:00:00"/>
    <x v="1"/>
    <x v="0"/>
    <n v="3"/>
  </r>
  <r>
    <n v="95"/>
    <n v="1"/>
    <s v="K83T4"/>
    <m/>
    <x v="1"/>
    <m/>
    <d v="2026-07-20T00:00:00"/>
    <x v="2"/>
    <x v="3"/>
    <n v="1"/>
  </r>
  <r>
    <n v="14"/>
    <n v="79"/>
    <s v="N2784"/>
    <m/>
    <x v="1"/>
    <m/>
    <d v="2026-08-01T00:00:00"/>
    <x v="3"/>
    <x v="4"/>
    <n v="2"/>
  </r>
  <r>
    <n v="30"/>
    <n v="79"/>
    <s v="N2784"/>
    <m/>
    <x v="2"/>
    <m/>
    <d v="2026-07-15T00:00:00"/>
    <x v="4"/>
    <x v="0"/>
    <n v="2"/>
  </r>
  <r>
    <n v="19"/>
    <n v="82"/>
    <s v="T4427"/>
    <m/>
    <x v="2"/>
    <m/>
    <d v="2026-08-01T00:00:00"/>
    <x v="3"/>
    <x v="4"/>
    <n v="1"/>
  </r>
  <r>
    <n v="25"/>
    <n v="85"/>
    <s v="N11F3R"/>
    <m/>
    <x v="2"/>
    <m/>
    <d v="2026-08-01T00:00:00"/>
    <x v="5"/>
    <x v="3"/>
    <n v="2"/>
  </r>
  <r>
    <n v="58"/>
    <n v="94"/>
    <s v="K941A"/>
    <m/>
    <x v="2"/>
    <m/>
    <d v="2026-07-23T00:00:00"/>
    <x v="6"/>
    <x v="3"/>
    <n v="1"/>
  </r>
  <r>
    <n v="7"/>
    <n v="105"/>
    <s v="T16R5"/>
    <m/>
    <x v="0"/>
    <m/>
    <d v="2026-08-01T00:00:00"/>
    <x v="7"/>
    <x v="5"/>
    <n v="3"/>
  </r>
  <r>
    <n v="92"/>
    <n v="111"/>
    <s v="S003R"/>
    <m/>
    <x v="3"/>
    <m/>
    <d v="2026-07-20T00:00:00"/>
    <x v="8"/>
    <x v="6"/>
    <n v="1"/>
  </r>
  <r>
    <n v="29"/>
    <n v="114"/>
    <s v="N11F3R"/>
    <m/>
    <x v="2"/>
    <m/>
    <d v="2026-07-21T00:00:00"/>
    <x v="7"/>
    <x v="3"/>
    <n v="2"/>
  </r>
  <r>
    <n v="57"/>
    <n v="116"/>
    <s v="N1785R"/>
    <m/>
    <x v="2"/>
    <m/>
    <d v="2026-07-21T00:00:00"/>
    <x v="9"/>
    <x v="3"/>
    <n v="2"/>
  </r>
  <r>
    <n v="31"/>
    <n v="122"/>
    <s v="T1698R"/>
    <m/>
    <x v="1"/>
    <m/>
    <d v="2026-07-22T00:00:00"/>
    <x v="7"/>
    <x v="3"/>
    <n v="2"/>
  </r>
  <r>
    <n v="32"/>
    <n v="126"/>
    <s v="T1698R"/>
    <m/>
    <x v="2"/>
    <m/>
    <d v="2026-07-22T00:00:00"/>
    <x v="4"/>
    <x v="0"/>
    <n v="2"/>
  </r>
  <r>
    <n v="59"/>
    <n v="127"/>
    <s v="N11F3R"/>
    <m/>
    <x v="2"/>
    <m/>
    <d v="2026-07-23T00:00:00"/>
    <x v="9"/>
    <x v="3"/>
    <n v="1"/>
  </r>
  <r>
    <n v="33"/>
    <n v="136"/>
    <s v="N2784R"/>
    <m/>
    <x v="2"/>
    <m/>
    <d v="2026-07-25T00:00:00"/>
    <x v="3"/>
    <x v="0"/>
    <n v="2"/>
  </r>
  <r>
    <n v="60"/>
    <n v="138"/>
    <s v="N11F3R"/>
    <m/>
    <x v="2"/>
    <m/>
    <d v="2026-07-26T00:00:00"/>
    <x v="4"/>
    <x v="3"/>
    <n v="1"/>
  </r>
  <r>
    <n v="53"/>
    <n v="140"/>
    <s v="B337X"/>
    <m/>
    <x v="4"/>
    <m/>
    <d v="2026-07-26T00:00:00"/>
    <x v="3"/>
    <x v="0"/>
    <n v="1"/>
  </r>
  <r>
    <n v="61"/>
    <n v="141"/>
    <s v="N11F3R"/>
    <m/>
    <x v="2"/>
    <m/>
    <d v="2026-07-26T00:00:00"/>
    <x v="10"/>
    <x v="3"/>
    <n v="1"/>
  </r>
  <r>
    <n v="62"/>
    <n v="142"/>
    <s v="G5126"/>
    <m/>
    <x v="2"/>
    <m/>
    <d v="2026-07-26T00:00:00"/>
    <x v="7"/>
    <x v="3"/>
    <n v="1"/>
  </r>
  <r>
    <n v="146"/>
    <n v="142"/>
    <s v="G5126"/>
    <m/>
    <x v="2"/>
    <m/>
    <d v="2026-07-27T00:00:00"/>
    <x v="2"/>
    <x v="3"/>
    <n v="1"/>
  </r>
  <r>
    <n v="34"/>
    <n v="145"/>
    <s v="N1785R"/>
    <m/>
    <x v="2"/>
    <m/>
    <d v="2026-07-27T00:00:00"/>
    <x v="7"/>
    <x v="3"/>
    <n v="2"/>
  </r>
  <r>
    <n v="35"/>
    <n v="146"/>
    <s v="N1785R"/>
    <m/>
    <x v="2"/>
    <m/>
    <d v="2026-07-27T00:00:00"/>
    <x v="4"/>
    <x v="0"/>
    <n v="2"/>
  </r>
  <r>
    <n v="36"/>
    <n v="147"/>
    <s v="N1785R"/>
    <m/>
    <x v="2"/>
    <m/>
    <d v="2026-07-27T00:00:00"/>
    <x v="7"/>
    <x v="3"/>
    <n v="2"/>
  </r>
  <r>
    <n v="55"/>
    <n v="148"/>
    <s v="K771H"/>
    <m/>
    <x v="2"/>
    <m/>
    <d v="2026-07-27T00:00:00"/>
    <x v="7"/>
    <x v="3"/>
    <n v="1"/>
  </r>
  <r>
    <n v="37"/>
    <n v="149"/>
    <s v="N11F3R"/>
    <m/>
    <x v="2"/>
    <m/>
    <d v="2026-07-27T00:00:00"/>
    <x v="7"/>
    <x v="3"/>
    <n v="2"/>
  </r>
  <r>
    <n v="54"/>
    <n v="151"/>
    <s v="T4427"/>
    <m/>
    <x v="4"/>
    <m/>
    <d v="2026-07-28T00:00:00"/>
    <x v="2"/>
    <x v="0"/>
    <n v="1"/>
  </r>
  <r>
    <n v="51"/>
    <n v="152"/>
    <s v="S003R"/>
    <m/>
    <x v="3"/>
    <m/>
    <d v="2026-08-01T00:00:00"/>
    <x v="8"/>
    <x v="7"/>
    <n v="2"/>
  </r>
  <r>
    <n v="50"/>
    <n v="153"/>
    <s v="S003R"/>
    <m/>
    <x v="3"/>
    <m/>
    <d v="2026-08-01T00:00:00"/>
    <x v="2"/>
    <x v="6"/>
    <n v="4"/>
  </r>
  <r>
    <n v="49"/>
    <n v="156"/>
    <s v="S003R"/>
    <m/>
    <x v="3"/>
    <m/>
    <d v="2026-08-01T00:00:00"/>
    <x v="2"/>
    <x v="6"/>
    <n v="4"/>
  </r>
  <r>
    <n v="2"/>
    <n v="161"/>
    <s v="WSWR"/>
    <m/>
    <x v="1"/>
    <m/>
    <d v="2026-08-01T00:00:00"/>
    <x v="2"/>
    <x v="4"/>
    <n v="1"/>
  </r>
  <r>
    <n v="3"/>
    <n v="162"/>
    <s v="S777C"/>
    <m/>
    <x v="5"/>
    <m/>
    <d v="2026-08-01T00:00:00"/>
    <x v="6"/>
    <x v="6"/>
    <n v="2"/>
  </r>
  <r>
    <n v="4"/>
    <n v="163"/>
    <s v="S777C"/>
    <m/>
    <x v="5"/>
    <m/>
    <d v="2026-08-01T00:00:00"/>
    <x v="6"/>
    <x v="6"/>
    <n v="2"/>
  </r>
  <r>
    <n v="5"/>
    <n v="164"/>
    <s v="S7672"/>
    <m/>
    <x v="6"/>
    <m/>
    <d v="2026-08-01T00:00:00"/>
    <x v="6"/>
    <x v="6"/>
    <n v="1"/>
  </r>
  <r>
    <n v="6"/>
    <n v="165"/>
    <s v="WSWR"/>
    <m/>
    <x v="1"/>
    <m/>
    <d v="2026-08-01T00:00:00"/>
    <x v="2"/>
    <x v="4"/>
    <n v="1"/>
  </r>
  <r>
    <n v="8"/>
    <n v="166"/>
    <s v="S7852"/>
    <m/>
    <x v="4"/>
    <m/>
    <d v="2026-08-01T00:00:00"/>
    <x v="8"/>
    <x v="5"/>
    <n v="2"/>
  </r>
  <r>
    <n v="9"/>
    <n v="167"/>
    <s v="T4427"/>
    <m/>
    <x v="7"/>
    <m/>
    <d v="2026-08-01T00:00:00"/>
    <x v="7"/>
    <x v="5"/>
    <n v="3"/>
  </r>
  <r>
    <n v="10"/>
    <n v="168"/>
    <s v="N11F3R"/>
    <m/>
    <x v="7"/>
    <m/>
    <d v="2026-08-01T00:00:00"/>
    <x v="8"/>
    <x v="5"/>
    <n v="3"/>
  </r>
  <r>
    <n v="11"/>
    <n v="169"/>
    <s v="T1698R"/>
    <m/>
    <x v="8"/>
    <m/>
    <d v="2026-08-01T00:00:00"/>
    <x v="7"/>
    <x v="5"/>
    <n v="2"/>
  </r>
  <r>
    <n v="39"/>
    <n v="170"/>
    <s v="N1785R"/>
    <m/>
    <x v="2"/>
    <m/>
    <d v="2026-08-01T00:00:00"/>
    <x v="7"/>
    <x v="3"/>
    <n v="2"/>
  </r>
  <r>
    <n v="40"/>
    <n v="171"/>
    <s v="B1026R"/>
    <m/>
    <x v="2"/>
    <m/>
    <d v="2026-08-01T00:00:00"/>
    <x v="7"/>
    <x v="3"/>
    <n v="2"/>
  </r>
  <r>
    <n v="41"/>
    <n v="172"/>
    <s v="N1785R"/>
    <m/>
    <x v="2"/>
    <m/>
    <d v="2026-08-01T00:00:00"/>
    <x v="11"/>
    <x v="0"/>
    <n v="2"/>
  </r>
  <r>
    <n v="42"/>
    <n v="173"/>
    <s v="N1785R"/>
    <m/>
    <x v="2"/>
    <m/>
    <d v="2026-08-01T00:00:00"/>
    <x v="8"/>
    <x v="3"/>
    <n v="2"/>
  </r>
  <r>
    <n v="43"/>
    <n v="174"/>
    <s v="N11F3R"/>
    <m/>
    <x v="2"/>
    <m/>
    <d v="2026-08-01T00:00:00"/>
    <x v="7"/>
    <x v="3"/>
    <n v="2"/>
  </r>
  <r>
    <n v="44"/>
    <n v="175"/>
    <s v="N11F3R"/>
    <m/>
    <x v="2"/>
    <m/>
    <d v="2026-08-01T00:00:00"/>
    <x v="8"/>
    <x v="3"/>
    <n v="2"/>
  </r>
  <r>
    <n v="45"/>
    <n v="176"/>
    <s v="N11F3R"/>
    <m/>
    <x v="2"/>
    <m/>
    <d v="2026-08-01T00:00:00"/>
    <x v="7"/>
    <x v="3"/>
    <n v="2"/>
  </r>
  <r>
    <n v="46"/>
    <n v="177"/>
    <s v="T16R5"/>
    <m/>
    <x v="2"/>
    <m/>
    <d v="2026-08-01T00:00:00"/>
    <x v="7"/>
    <x v="3"/>
    <n v="2"/>
  </r>
  <r>
    <n v="47"/>
    <n v="178"/>
    <s v="N1785R"/>
    <m/>
    <x v="2"/>
    <m/>
    <d v="2026-08-01T00:00:00"/>
    <x v="6"/>
    <x v="3"/>
    <n v="2"/>
  </r>
  <r>
    <n v="48"/>
    <n v="179"/>
    <s v="K16V5"/>
    <m/>
    <x v="1"/>
    <m/>
    <d v="2026-08-01T00:00:00"/>
    <x v="3"/>
    <x v="8"/>
    <n v="2"/>
  </r>
  <r>
    <n v="12"/>
    <n v="180"/>
    <s v="CAMPURAN"/>
    <m/>
    <x v="8"/>
    <m/>
    <d v="2026-08-01T00:00:00"/>
    <x v="8"/>
    <x v="4"/>
    <n v="3"/>
  </r>
  <r>
    <n v="13"/>
    <n v="181"/>
    <s v="N2784"/>
    <m/>
    <x v="2"/>
    <m/>
    <d v="2026-08-01T00:00:00"/>
    <x v="2"/>
    <x v="4"/>
    <n v="1"/>
  </r>
  <r>
    <n v="15"/>
    <n v="182"/>
    <s v="T16R5"/>
    <m/>
    <x v="2"/>
    <m/>
    <d v="2026-08-01T00:00:00"/>
    <x v="7"/>
    <x v="4"/>
    <n v="1"/>
  </r>
  <r>
    <n v="16"/>
    <n v="183"/>
    <s v="N11F3R"/>
    <m/>
    <x v="2"/>
    <m/>
    <d v="2026-08-01T00:00:00"/>
    <x v="8"/>
    <x v="4"/>
    <n v="1"/>
  </r>
  <r>
    <n v="17"/>
    <n v="184"/>
    <s v="T4427"/>
    <m/>
    <x v="2"/>
    <m/>
    <d v="2026-08-01T00:00:00"/>
    <x v="6"/>
    <x v="4"/>
    <n v="1"/>
  </r>
  <r>
    <n v="18"/>
    <n v="185"/>
    <s v="T4427"/>
    <m/>
    <x v="2"/>
    <m/>
    <d v="2026-08-01T00:00:00"/>
    <x v="2"/>
    <x v="4"/>
    <n v="2"/>
  </r>
  <r>
    <n v="23"/>
    <n v="186"/>
    <s v="T4427"/>
    <m/>
    <x v="2"/>
    <m/>
    <d v="2026-08-01T00:00:00"/>
    <x v="6"/>
    <x v="3"/>
    <n v="2"/>
  </r>
  <r>
    <n v="24"/>
    <n v="187"/>
    <s v="N11F3R"/>
    <m/>
    <x v="2"/>
    <m/>
    <d v="2026-08-01T00:00:00"/>
    <x v="3"/>
    <x v="3"/>
    <n v="2"/>
  </r>
  <r>
    <n v="26"/>
    <n v="188"/>
    <s v="B1026R"/>
    <m/>
    <x v="2"/>
    <m/>
    <d v="2026-08-01T00:00:00"/>
    <x v="6"/>
    <x v="3"/>
    <n v="1"/>
  </r>
  <r>
    <n v="27"/>
    <n v="189"/>
    <s v="WSWR"/>
    <m/>
    <x v="1"/>
    <m/>
    <d v="2026-08-01T00:00:00"/>
    <x v="2"/>
    <x v="3"/>
    <n v="2"/>
  </r>
  <r>
    <n v="28"/>
    <n v="190"/>
    <s v="WSWR"/>
    <m/>
    <x v="1"/>
    <m/>
    <d v="2026-08-01T00:00:00"/>
    <x v="2"/>
    <x v="4"/>
    <n v="2"/>
  </r>
  <r>
    <n v="64"/>
    <n v="197"/>
    <s v="N11F3R"/>
    <m/>
    <x v="2"/>
    <d v="2026-08-05T00:00:00"/>
    <d v="2026-08-06T00:00:00"/>
    <x v="11"/>
    <x v="0"/>
    <n v="1"/>
  </r>
  <r>
    <n v="65"/>
    <n v="205"/>
    <s v="T1698R"/>
    <m/>
    <x v="2"/>
    <d v="2026-08-05T00:00:00"/>
    <d v="2026-08-06T00:00:00"/>
    <x v="5"/>
    <x v="0"/>
    <n v="3"/>
  </r>
  <r>
    <n v="66"/>
    <n v="206"/>
    <s v="N11F3"/>
    <m/>
    <x v="2"/>
    <d v="2026-08-06T00:00:00"/>
    <d v="2026-08-06T00:00:00"/>
    <x v="7"/>
    <x v="3"/>
    <n v="1"/>
  </r>
  <r>
    <n v="67"/>
    <n v="207"/>
    <s v="T1698R"/>
    <m/>
    <x v="2"/>
    <d v="2026-08-06T00:00:00"/>
    <d v="2026-08-06T00:00:00"/>
    <x v="7"/>
    <x v="3"/>
    <n v="1"/>
  </r>
  <r>
    <n v="68"/>
    <n v="208"/>
    <s v="N1785"/>
    <m/>
    <x v="2"/>
    <d v="2026-08-06T00:00:00"/>
    <d v="2026-08-06T00:00:00"/>
    <x v="5"/>
    <x v="0"/>
    <n v="1"/>
  </r>
  <r>
    <n v="69"/>
    <n v="209"/>
    <s v="N1785"/>
    <m/>
    <x v="2"/>
    <d v="2026-08-06T00:00:00"/>
    <d v="2026-08-06T00:00:00"/>
    <x v="7"/>
    <x v="3"/>
    <n v="2"/>
  </r>
  <r>
    <n v="70"/>
    <n v="210"/>
    <s v="N1785R"/>
    <m/>
    <x v="1"/>
    <d v="2026-08-06T00:00:00"/>
    <d v="2026-08-06T00:00:00"/>
    <x v="12"/>
    <x v="0"/>
    <n v="2"/>
  </r>
  <r>
    <n v="71"/>
    <n v="211"/>
    <s v="B1026R"/>
    <m/>
    <x v="2"/>
    <d v="2026-08-06T00:00:00"/>
    <d v="2026-08-06T00:00:00"/>
    <x v="7"/>
    <x v="3"/>
    <n v="1"/>
  </r>
  <r>
    <n v="73"/>
    <n v="218"/>
    <s v="G7204"/>
    <m/>
    <x v="9"/>
    <m/>
    <d v="2026-08-07T00:00:00"/>
    <x v="7"/>
    <x v="9"/>
    <n v="1"/>
  </r>
  <r>
    <n v="72"/>
    <n v="219"/>
    <s v="K633R"/>
    <m/>
    <x v="2"/>
    <m/>
    <d v="2026-08-07T00:00:00"/>
    <x v="7"/>
    <x v="3"/>
    <n v="1"/>
  </r>
  <r>
    <n v="74"/>
    <n v="221"/>
    <s v="T16R5"/>
    <m/>
    <x v="2"/>
    <d v="2026-08-07T00:00:00"/>
    <d v="2026-08-10T00:00:00"/>
    <x v="9"/>
    <x v="0"/>
    <n v="1"/>
  </r>
  <r>
    <n v="75"/>
    <n v="222"/>
    <s v="G5126"/>
    <m/>
    <x v="2"/>
    <d v="2026-08-07T00:00:00"/>
    <d v="2026-08-10T00:00:00"/>
    <x v="2"/>
    <x v="3"/>
    <n v="1"/>
  </r>
  <r>
    <n v="76"/>
    <n v="223"/>
    <s v="N11F3R"/>
    <m/>
    <x v="2"/>
    <d v="2026-08-07T00:00:00"/>
    <d v="2026-08-10T00:00:00"/>
    <x v="7"/>
    <x v="3"/>
    <n v="1"/>
  </r>
  <r>
    <n v="77"/>
    <n v="224"/>
    <s v="N11F3"/>
    <m/>
    <x v="2"/>
    <d v="2026-08-07T00:00:00"/>
    <d v="2026-08-10T00:00:00"/>
    <x v="11"/>
    <x v="0"/>
    <n v="1"/>
  </r>
  <r>
    <n v="78"/>
    <n v="225"/>
    <s v="T16R5"/>
    <m/>
    <x v="2"/>
    <d v="2026-08-07T00:00:00"/>
    <d v="2026-08-10T00:00:00"/>
    <x v="11"/>
    <x v="0"/>
    <n v="1"/>
  </r>
  <r>
    <n v="79"/>
    <n v="226"/>
    <s v="T4427"/>
    <m/>
    <x v="2"/>
    <d v="2026-08-10T00:00:00"/>
    <d v="2026-08-11T00:00:00"/>
    <x v="7"/>
    <x v="3"/>
    <n v="1"/>
  </r>
  <r>
    <n v="80"/>
    <n v="227"/>
    <s v="T16R5"/>
    <m/>
    <x v="2"/>
    <d v="2026-08-10T00:00:00"/>
    <d v="2026-08-11T00:00:00"/>
    <x v="9"/>
    <x v="0"/>
    <n v="1"/>
  </r>
  <r>
    <n v="81"/>
    <n v="228"/>
    <s v="T16R5"/>
    <m/>
    <x v="2"/>
    <d v="2026-08-10T00:00:00"/>
    <d v="2026-08-11T00:00:00"/>
    <x v="7"/>
    <x v="3"/>
    <n v="1"/>
  </r>
  <r>
    <n v="82"/>
    <n v="229"/>
    <s v="K844A"/>
    <m/>
    <x v="2"/>
    <d v="2026-08-10T00:00:00"/>
    <d v="2026-08-11T00:00:00"/>
    <x v="7"/>
    <x v="3"/>
    <n v="1"/>
  </r>
  <r>
    <n v="83"/>
    <n v="230"/>
    <s v="N11F3"/>
    <m/>
    <x v="2"/>
    <d v="2026-08-10T00:00:00"/>
    <d v="2026-08-11T00:00:00"/>
    <x v="7"/>
    <x v="3"/>
    <n v="1"/>
  </r>
  <r>
    <n v="84"/>
    <n v="231"/>
    <s v="F4111"/>
    <m/>
    <x v="9"/>
    <m/>
    <d v="2026-08-11T00:00:00"/>
    <x v="7"/>
    <x v="9"/>
    <n v="1"/>
  </r>
  <r>
    <n v="85"/>
    <n v="232"/>
    <s v="F4111"/>
    <m/>
    <x v="9"/>
    <m/>
    <d v="2026-08-11T00:00:00"/>
    <x v="9"/>
    <x v="0"/>
    <n v="1"/>
  </r>
  <r>
    <n v="86"/>
    <n v="233"/>
    <s v="F4111"/>
    <m/>
    <x v="9"/>
    <m/>
    <d v="2026-08-11T00:00:00"/>
    <x v="9"/>
    <x v="0"/>
    <n v="1"/>
  </r>
  <r>
    <n v="87"/>
    <n v="234"/>
    <s v="T1698R"/>
    <m/>
    <x v="2"/>
    <d v="2026-08-10T00:00:00"/>
    <d v="2026-08-11T00:00:00"/>
    <x v="7"/>
    <x v="3"/>
    <n v="1"/>
  </r>
  <r>
    <n v="88"/>
    <n v="235"/>
    <s v="T4427"/>
    <m/>
    <x v="2"/>
    <d v="2026-08-10T00:00:00"/>
    <d v="2026-08-11T00:00:00"/>
    <x v="7"/>
    <x v="3"/>
    <n v="3"/>
  </r>
  <r>
    <n v="89"/>
    <n v="236"/>
    <s v="B1026R"/>
    <m/>
    <x v="2"/>
    <d v="2026-08-10T00:00:00"/>
    <d v="2026-08-11T00:00:00"/>
    <x v="6"/>
    <x v="3"/>
    <n v="1"/>
  </r>
  <r>
    <n v="90"/>
    <n v="237"/>
    <s v="N11F3"/>
    <m/>
    <x v="2"/>
    <d v="2026-08-10T00:00:00"/>
    <d v="2026-08-11T00:00:00"/>
    <x v="8"/>
    <x v="3"/>
    <n v="2"/>
  </r>
  <r>
    <n v="91"/>
    <n v="238"/>
    <s v="N11F3"/>
    <m/>
    <x v="2"/>
    <d v="2026-08-11T00:00:00"/>
    <d v="2026-08-12T00:00:00"/>
    <x v="7"/>
    <x v="0"/>
    <n v="2"/>
  </r>
  <r>
    <n v="93"/>
    <n v="239"/>
    <s v="T1698"/>
    <m/>
    <x v="2"/>
    <m/>
    <d v="2026-07-20T00:00:00"/>
    <x v="13"/>
    <x v="3"/>
    <n v="1"/>
  </r>
  <r>
    <n v="94"/>
    <n v="240"/>
    <s v="N1785"/>
    <m/>
    <x v="2"/>
    <m/>
    <d v="2026-07-20T00:00:00"/>
    <x v="8"/>
    <x v="3"/>
    <n v="1"/>
  </r>
  <r>
    <n v="96"/>
    <n v="241"/>
    <s v="N11F3"/>
    <m/>
    <x v="2"/>
    <m/>
    <d v="2026-07-20T00:00:00"/>
    <x v="6"/>
    <x v="3"/>
    <n v="1"/>
  </r>
  <r>
    <n v="97"/>
    <n v="242"/>
    <s v="K96H6"/>
    <m/>
    <x v="1"/>
    <m/>
    <d v="2026-07-20T00:00:00"/>
    <x v="3"/>
    <x v="3"/>
    <n v="1"/>
  </r>
  <r>
    <n v="98"/>
    <n v="243"/>
    <s v="T1698"/>
    <m/>
    <x v="2"/>
    <m/>
    <d v="2026-07-20T00:00:00"/>
    <x v="2"/>
    <x v="4"/>
    <n v="1"/>
  </r>
  <r>
    <n v="107"/>
    <n v="244"/>
    <s v="K941A"/>
    <m/>
    <x v="2"/>
    <d v="2026-08-12T00:00:00"/>
    <d v="2026-08-13T00:00:00"/>
    <x v="3"/>
    <x v="0"/>
    <n v="1"/>
  </r>
  <r>
    <n v="108"/>
    <n v="245"/>
    <s v="B1578"/>
    <m/>
    <x v="2"/>
    <d v="2026-08-12T00:00:00"/>
    <d v="2026-08-13T00:00:00"/>
    <x v="12"/>
    <x v="3"/>
    <n v="1"/>
  </r>
  <r>
    <n v="109"/>
    <n v="246"/>
    <s v="K844A"/>
    <m/>
    <x v="2"/>
    <d v="2026-08-12T00:00:00"/>
    <d v="2026-08-13T00:00:00"/>
    <x v="8"/>
    <x v="3"/>
    <n v="1"/>
  </r>
  <r>
    <n v="110"/>
    <n v="247"/>
    <s v="T16R5R"/>
    <m/>
    <x v="10"/>
    <d v="2026-08-12T00:00:00"/>
    <d v="2026-08-13T00:00:00"/>
    <x v="0"/>
    <x v="0"/>
    <n v="1"/>
  </r>
  <r>
    <n v="111"/>
    <n v="248"/>
    <s v="T1698R"/>
    <m/>
    <x v="2"/>
    <d v="2026-08-12T00:00:00"/>
    <d v="2026-08-13T00:00:00"/>
    <x v="12"/>
    <x v="3"/>
    <n v="1"/>
  </r>
  <r>
    <n v="112"/>
    <n v="249"/>
    <s v="T4427"/>
    <m/>
    <x v="2"/>
    <d v="2026-08-12T00:00:00"/>
    <d v="2026-08-13T00:00:00"/>
    <x v="12"/>
    <x v="3"/>
    <n v="1"/>
  </r>
  <r>
    <n v="113"/>
    <n v="250"/>
    <s v="T7131"/>
    <m/>
    <x v="2"/>
    <d v="2026-08-12T00:00:00"/>
    <d v="2026-08-13T00:00:00"/>
    <x v="3"/>
    <x v="0"/>
    <n v="1"/>
  </r>
  <r>
    <n v="114"/>
    <n v="251"/>
    <s v="N1785"/>
    <m/>
    <x v="1"/>
    <d v="2026-08-12T00:00:00"/>
    <d v="2026-08-13T00:00:00"/>
    <x v="2"/>
    <x v="1"/>
    <n v="1"/>
  </r>
  <r>
    <n v="115"/>
    <n v="252"/>
    <s v="T7131"/>
    <m/>
    <x v="2"/>
    <d v="2026-08-13T00:00:00"/>
    <d v="2026-08-13T00:00:00"/>
    <x v="12"/>
    <x v="3"/>
    <n v="1"/>
  </r>
  <r>
    <n v="116"/>
    <n v="253"/>
    <s v="T7131"/>
    <m/>
    <x v="2"/>
    <d v="2026-08-13T00:00:00"/>
    <d v="2026-08-13T00:00:00"/>
    <x v="12"/>
    <x v="3"/>
    <n v="1"/>
  </r>
  <r>
    <n v="124"/>
    <n v="254"/>
    <s v="K96H6"/>
    <m/>
    <x v="11"/>
    <m/>
    <d v="2026-08-13T00:00:00"/>
    <x v="8"/>
    <x v="5"/>
    <n v="1"/>
  </r>
  <r>
    <n v="125"/>
    <n v="255"/>
    <s v="K16V5"/>
    <m/>
    <x v="12"/>
    <m/>
    <d v="2026-08-13T00:00:00"/>
    <x v="8"/>
    <x v="5"/>
    <n v="1"/>
  </r>
  <r>
    <n v="126"/>
    <n v="256"/>
    <s v="S003R"/>
    <m/>
    <x v="3"/>
    <m/>
    <d v="2026-08-13T00:00:00"/>
    <x v="13"/>
    <x v="5"/>
    <n v="1"/>
  </r>
  <r>
    <n v="127"/>
    <n v="257"/>
    <s v="S003R"/>
    <m/>
    <x v="3"/>
    <m/>
    <d v="2026-08-13T00:00:00"/>
    <x v="13"/>
    <x v="5"/>
    <n v="1"/>
  </r>
  <r>
    <n v="128"/>
    <n v="258"/>
    <s v="S003R"/>
    <m/>
    <x v="3"/>
    <m/>
    <d v="2026-08-13T00:00:00"/>
    <x v="13"/>
    <x v="5"/>
    <n v="1"/>
  </r>
  <r>
    <n v="129"/>
    <n v="259"/>
    <s v="S003R"/>
    <m/>
    <x v="3"/>
    <m/>
    <d v="2026-08-13T00:00:00"/>
    <x v="13"/>
    <x v="5"/>
    <n v="1"/>
  </r>
  <r>
    <n v="130"/>
    <n v="260"/>
    <s v="S003R"/>
    <m/>
    <x v="3"/>
    <m/>
    <d v="2026-08-13T00:00:00"/>
    <x v="8"/>
    <x v="5"/>
    <n v="1"/>
  </r>
  <r>
    <n v="131"/>
    <n v="261"/>
    <s v="S003R"/>
    <m/>
    <x v="3"/>
    <m/>
    <d v="2026-08-13T00:00:00"/>
    <x v="13"/>
    <x v="5"/>
    <n v="1"/>
  </r>
  <r>
    <n v="117"/>
    <n v="262"/>
    <s v="T16R5"/>
    <m/>
    <x v="1"/>
    <m/>
    <d v="2026-08-14T00:00:00"/>
    <x v="3"/>
    <x v="0"/>
    <n v="1"/>
  </r>
  <r>
    <n v="159"/>
    <n v="264"/>
    <s v="T16R5"/>
    <m/>
    <x v="1"/>
    <m/>
    <d v="2026-09-02T00:00:00"/>
    <x v="2"/>
    <x v="1"/>
    <n v="1"/>
  </r>
  <r>
    <n v="118"/>
    <n v="266"/>
    <s v="N11F3"/>
    <m/>
    <x v="2"/>
    <m/>
    <d v="2026-08-14T00:00:00"/>
    <x v="6"/>
    <x v="0"/>
    <n v="1"/>
  </r>
  <r>
    <n v="119"/>
    <n v="267"/>
    <s v="T16R5"/>
    <m/>
    <x v="2"/>
    <m/>
    <d v="2026-08-14T00:00:00"/>
    <x v="3"/>
    <x v="0"/>
    <n v="1"/>
  </r>
  <r>
    <n v="120"/>
    <n v="268"/>
    <s v="T7131"/>
    <m/>
    <x v="2"/>
    <m/>
    <d v="2026-08-14T00:00:00"/>
    <x v="6"/>
    <x v="0"/>
    <n v="1"/>
  </r>
  <r>
    <n v="121"/>
    <n v="269"/>
    <s v="T7131"/>
    <m/>
    <x v="2"/>
    <m/>
    <d v="2026-08-14T00:00:00"/>
    <x v="6"/>
    <x v="0"/>
    <n v="1"/>
  </r>
  <r>
    <n v="122"/>
    <n v="270"/>
    <s v="S888R"/>
    <m/>
    <x v="12"/>
    <m/>
    <d v="2026-08-14T00:00:00"/>
    <x v="2"/>
    <x v="8"/>
    <n v="1"/>
  </r>
  <r>
    <n v="123"/>
    <n v="271"/>
    <s v="K269A"/>
    <m/>
    <x v="1"/>
    <m/>
    <d v="2026-08-13T00:00:00"/>
    <x v="6"/>
    <x v="3"/>
    <n v="1"/>
  </r>
  <r>
    <n v="132"/>
    <n v="272"/>
    <s v="G7204"/>
    <m/>
    <x v="13"/>
    <m/>
    <d v="2026-08-19T00:00:00"/>
    <x v="2"/>
    <x v="3"/>
    <n v="1"/>
  </r>
  <r>
    <n v="133"/>
    <n v="273"/>
    <s v="F7894"/>
    <m/>
    <x v="14"/>
    <m/>
    <d v="2026-08-19T00:00:00"/>
    <x v="2"/>
    <x v="4"/>
    <n v="1"/>
  </r>
  <r>
    <n v="134"/>
    <n v="274"/>
    <s v="F7894"/>
    <m/>
    <x v="14"/>
    <m/>
    <d v="2026-08-19T00:00:00"/>
    <x v="2"/>
    <x v="3"/>
    <n v="1"/>
  </r>
  <r>
    <n v="135"/>
    <n v="275"/>
    <s v="F7894"/>
    <m/>
    <x v="13"/>
    <m/>
    <d v="2026-08-19T00:00:00"/>
    <x v="2"/>
    <x v="10"/>
    <n v="1"/>
  </r>
  <r>
    <n v="136"/>
    <n v="276"/>
    <s v="B1578"/>
    <m/>
    <x v="13"/>
    <m/>
    <d v="2026-08-19T00:00:00"/>
    <x v="3"/>
    <x v="11"/>
    <n v="1"/>
  </r>
  <r>
    <n v="137"/>
    <n v="277"/>
    <s v="F4057"/>
    <m/>
    <x v="9"/>
    <m/>
    <d v="2026-08-19T00:00:00"/>
    <x v="8"/>
    <x v="11"/>
    <n v="4"/>
  </r>
  <r>
    <n v="138"/>
    <n v="278"/>
    <s v="G7204"/>
    <m/>
    <x v="9"/>
    <m/>
    <d v="2026-08-19T00:00:00"/>
    <x v="8"/>
    <x v="11"/>
    <n v="4"/>
  </r>
  <r>
    <n v="152"/>
    <n v="279"/>
    <s v="T97F1"/>
    <m/>
    <x v="11"/>
    <m/>
    <d v="2026-08-21T00:00:00"/>
    <x v="3"/>
    <x v="10"/>
    <n v="1"/>
  </r>
  <r>
    <n v="153"/>
    <n v="280"/>
    <s v="N1785"/>
    <m/>
    <x v="11"/>
    <m/>
    <d v="2026-08-21T00:00:00"/>
    <x v="2"/>
    <x v="12"/>
    <n v="1"/>
  </r>
  <r>
    <n v="154"/>
    <n v="281"/>
    <s v="K96H6"/>
    <m/>
    <x v="12"/>
    <m/>
    <d v="2026-08-21T00:00:00"/>
    <x v="2"/>
    <x v="10"/>
    <n v="1"/>
  </r>
  <r>
    <n v="143"/>
    <n v="282"/>
    <s v="K269AR"/>
    <m/>
    <x v="4"/>
    <m/>
    <d v="2026-08-21T00:00:00"/>
    <x v="3"/>
    <x v="4"/>
    <n v="2"/>
  </r>
  <r>
    <n v="144"/>
    <n v="283"/>
    <s v="K96H6R"/>
    <m/>
    <x v="4"/>
    <m/>
    <d v="2026-08-21T00:00:00"/>
    <x v="3"/>
    <x v="3"/>
    <n v="4"/>
  </r>
  <r>
    <n v="145"/>
    <n v="284"/>
    <s v="T1698"/>
    <m/>
    <x v="2"/>
    <m/>
    <d v="2026-08-21T00:00:00"/>
    <x v="2"/>
    <x v="3"/>
    <n v="1"/>
  </r>
  <r>
    <n v="147"/>
    <n v="285"/>
    <s v="T4427"/>
    <m/>
    <x v="4"/>
    <m/>
    <d v="2026-08-21T00:00:00"/>
    <x v="2"/>
    <x v="3"/>
    <n v="1"/>
  </r>
  <r>
    <n v="148"/>
    <n v="286"/>
    <s v="K633R"/>
    <m/>
    <x v="0"/>
    <m/>
    <d v="2026-08-21T00:00:00"/>
    <x v="3"/>
    <x v="3"/>
    <n v="1"/>
  </r>
  <r>
    <n v="149"/>
    <n v="287"/>
    <s v="N11F3R"/>
    <m/>
    <x v="0"/>
    <m/>
    <d v="2026-08-21T00:00:00"/>
    <x v="3"/>
    <x v="3"/>
    <n v="1"/>
  </r>
  <r>
    <n v="155"/>
    <n v="289"/>
    <s v="K96H6R"/>
    <m/>
    <x v="14"/>
    <m/>
    <d v="2026-09-02T00:00:00"/>
    <x v="2"/>
    <x v="0"/>
    <n v="1"/>
  </r>
  <r>
    <n v="156"/>
    <n v="290"/>
    <s v="B337X"/>
    <m/>
    <x v="15"/>
    <m/>
    <d v="2026-09-02T00:00:00"/>
    <x v="2"/>
    <x v="0"/>
    <n v="1"/>
  </r>
  <r>
    <n v="157"/>
    <n v="291"/>
    <s v="T1373"/>
    <m/>
    <x v="4"/>
    <m/>
    <d v="2026-09-02T00:00:00"/>
    <x v="2"/>
    <x v="0"/>
    <n v="1"/>
  </r>
  <r>
    <n v="158"/>
    <n v="292"/>
    <s v="B337X"/>
    <m/>
    <x v="4"/>
    <m/>
    <d v="2026-09-02T00:00:00"/>
    <x v="2"/>
    <x v="0"/>
    <n v="1"/>
  </r>
  <r>
    <n v="1"/>
    <n v="2653"/>
    <s v="S7890"/>
    <m/>
    <x v="16"/>
    <m/>
    <d v="2026-07-28T00:00:00"/>
    <x v="5"/>
    <x v="6"/>
    <n v="4"/>
  </r>
  <r>
    <n v="99"/>
    <n v="11796"/>
    <s v="T4427"/>
    <m/>
    <x v="14"/>
    <m/>
    <d v="2026-07-20T00:00:00"/>
    <x v="3"/>
    <x v="3"/>
    <n v="1"/>
  </r>
  <r>
    <n v="56"/>
    <n v="17007"/>
    <s v="N1785R"/>
    <m/>
    <x v="2"/>
    <m/>
    <d v="2026-07-21T00:00:00"/>
    <x v="9"/>
    <x v="3"/>
    <n v="1"/>
  </r>
  <r>
    <n v="20"/>
    <n v="17009"/>
    <s v="K16V5"/>
    <m/>
    <x v="1"/>
    <m/>
    <d v="2026-06-29T00:00:00"/>
    <x v="2"/>
    <x v="3"/>
    <n v="4"/>
  </r>
  <r>
    <n v="38"/>
    <n v="17015"/>
    <s v="N1785R"/>
    <m/>
    <x v="2"/>
    <m/>
    <d v="2026-08-01T00:00:00"/>
    <x v="7"/>
    <x v="3"/>
    <n v="2"/>
  </r>
  <r>
    <n v="22"/>
    <n v="17196"/>
    <s v="T4427"/>
    <m/>
    <x v="17"/>
    <m/>
    <d v="2026-08-01T00:00:00"/>
    <x v="9"/>
    <x v="3"/>
    <n v="1"/>
  </r>
  <r>
    <n v="52"/>
    <n v="17271"/>
    <s v="S003R"/>
    <m/>
    <x v="3"/>
    <m/>
    <d v="2026-08-01T00:00:00"/>
    <x v="7"/>
    <x v="7"/>
    <n v="2"/>
  </r>
  <r>
    <n v="63"/>
    <n v="17277"/>
    <s v="T16R5R"/>
    <m/>
    <x v="18"/>
    <d v="2026-08-03T00:00:00"/>
    <d v="2026-08-04T00:00:00"/>
    <x v="4"/>
    <x v="0"/>
    <n v="1"/>
  </r>
  <r>
    <n v="21"/>
    <n v="17326"/>
    <s v="T4427"/>
    <m/>
    <x v="2"/>
    <m/>
    <d v="2026-08-01T00:00:00"/>
    <x v="2"/>
    <x v="3"/>
    <n v="4"/>
  </r>
  <r>
    <n v="100"/>
    <s v="NO ID"/>
    <s v="NO ID"/>
    <m/>
    <x v="19"/>
    <m/>
    <d v="2026-07-20T00:00:00"/>
    <x v="8"/>
    <x v="13"/>
    <n v="1"/>
  </r>
  <r>
    <n v="101"/>
    <s v="NO ID"/>
    <s v="NO ID"/>
    <m/>
    <x v="19"/>
    <m/>
    <d v="2026-07-20T00:00:00"/>
    <x v="8"/>
    <x v="13"/>
    <n v="1"/>
  </r>
  <r>
    <n v="102"/>
    <s v="NO ID"/>
    <s v="NO ID"/>
    <m/>
    <x v="19"/>
    <m/>
    <d v="2026-07-20T00:00:00"/>
    <x v="8"/>
    <x v="13"/>
    <n v="1"/>
  </r>
  <r>
    <n v="103"/>
    <s v="NO ID"/>
    <s v="NO ID"/>
    <m/>
    <x v="19"/>
    <m/>
    <d v="2026-07-20T00:00:00"/>
    <x v="8"/>
    <x v="13"/>
    <n v="1"/>
  </r>
  <r>
    <n v="104"/>
    <s v="NO ID"/>
    <s v="NO ID"/>
    <m/>
    <x v="19"/>
    <m/>
    <d v="2026-07-20T00:00:00"/>
    <x v="8"/>
    <x v="13"/>
    <n v="1"/>
  </r>
  <r>
    <n v="105"/>
    <s v="NO ID"/>
    <s v="NO ID"/>
    <m/>
    <x v="19"/>
    <m/>
    <d v="2026-07-20T00:00:00"/>
    <x v="8"/>
    <x v="13"/>
    <n v="1"/>
  </r>
  <r>
    <n v="106"/>
    <s v="NO ID"/>
    <s v="NO ID"/>
    <m/>
    <x v="19"/>
    <m/>
    <d v="2026-07-20T00:00:00"/>
    <x v="8"/>
    <x v="13"/>
    <n v="1"/>
  </r>
  <r>
    <n v="142"/>
    <m/>
    <s v="S71H1"/>
    <m/>
    <x v="0"/>
    <m/>
    <d v="2026-08-20T00:00:00"/>
    <x v="8"/>
    <x v="0"/>
    <n v="3"/>
  </r>
  <r>
    <n v="160"/>
    <m/>
    <m/>
    <m/>
    <x v="20"/>
    <m/>
    <m/>
    <x v="2"/>
    <x v="14"/>
    <m/>
  </r>
  <r>
    <n v="161"/>
    <m/>
    <m/>
    <m/>
    <x v="20"/>
    <m/>
    <m/>
    <x v="2"/>
    <x v="14"/>
    <m/>
  </r>
  <r>
    <n v="162"/>
    <m/>
    <m/>
    <m/>
    <x v="20"/>
    <m/>
    <m/>
    <x v="2"/>
    <x v="14"/>
    <m/>
  </r>
  <r>
    <m/>
    <m/>
    <m/>
    <m/>
    <x v="20"/>
    <m/>
    <m/>
    <x v="2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2E8A9-6985-4305-B3A2-27613D6B04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Q36" firstHeaderRow="1" firstDataRow="1" firstDataCol="1"/>
  <pivotFields count="8">
    <pivotField showAll="0"/>
    <pivotField showAll="0"/>
    <pivotField axis="axisRow" dataField="1" showAll="0" sortType="descending">
      <items count="34">
        <item x="7"/>
        <item x="29"/>
        <item x="3"/>
        <item x="20"/>
        <item x="9"/>
        <item x="12"/>
        <item x="8"/>
        <item x="4"/>
        <item x="0"/>
        <item x="5"/>
        <item x="13"/>
        <item x="2"/>
        <item x="6"/>
        <item x="30"/>
        <item x="1"/>
        <item x="10"/>
        <item x="32"/>
        <item x="11"/>
        <item x="27"/>
        <item x="21"/>
        <item x="15"/>
        <item x="23"/>
        <item x="24"/>
        <item x="22"/>
        <item x="14"/>
        <item x="16"/>
        <item x="25"/>
        <item x="18"/>
        <item x="31"/>
        <item x="28"/>
        <item x="26"/>
        <item x="17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34">
    <i>
      <x v="14"/>
    </i>
    <i>
      <x v="17"/>
    </i>
    <i>
      <x v="8"/>
    </i>
    <i>
      <x v="1"/>
    </i>
    <i>
      <x v="19"/>
    </i>
    <i>
      <x v="26"/>
    </i>
    <i>
      <x v="6"/>
    </i>
    <i>
      <x v="15"/>
    </i>
    <i>
      <x v="30"/>
    </i>
    <i>
      <x v="4"/>
    </i>
    <i>
      <x v="9"/>
    </i>
    <i>
      <x v="21"/>
    </i>
    <i>
      <x v="29"/>
    </i>
    <i>
      <x v="18"/>
    </i>
    <i>
      <x v="31"/>
    </i>
    <i>
      <x v="3"/>
    </i>
    <i>
      <x v="25"/>
    </i>
    <i>
      <x v="5"/>
    </i>
    <i>
      <x v="23"/>
    </i>
    <i>
      <x v="2"/>
    </i>
    <i>
      <x v="20"/>
    </i>
    <i>
      <x v="13"/>
    </i>
    <i>
      <x v="27"/>
    </i>
    <i>
      <x v="32"/>
    </i>
    <i>
      <x v="11"/>
    </i>
    <i>
      <x v="28"/>
    </i>
    <i>
      <x v="24"/>
    </i>
    <i>
      <x v="10"/>
    </i>
    <i>
      <x v="12"/>
    </i>
    <i>
      <x v="22"/>
    </i>
    <i>
      <x v="7"/>
    </i>
    <i>
      <x v="16"/>
    </i>
    <i>
      <x/>
    </i>
    <i t="grand">
      <x/>
    </i>
  </rowItems>
  <colItems count="1">
    <i/>
  </colItems>
  <dataFields count="1">
    <dataField name="Count of Compound" fld="2" subtotal="count" baseField="0" baseItem="0"/>
  </dataFields>
  <formats count="4">
    <format dxfId="3">
      <pivotArea collapsedLevelsAreSubtotals="1" fieldPosition="0">
        <references count="1">
          <reference field="2" count="1">
            <x v="8"/>
          </reference>
        </references>
      </pivotArea>
    </format>
    <format dxfId="2">
      <pivotArea dataOnly="0" labelOnly="1" fieldPosition="0">
        <references count="1">
          <reference field="2" count="1">
            <x v="8"/>
          </reference>
        </references>
      </pivotArea>
    </format>
    <format dxfId="1">
      <pivotArea collapsedLevelsAreSubtotals="1" fieldPosition="0">
        <references count="1">
          <reference field="2" count="1">
            <x v="14"/>
          </reference>
        </references>
      </pivotArea>
    </format>
    <format dxfId="0">
      <pivotArea dataOnly="0" labelOnly="1" fieldPosition="0">
        <references count="1">
          <reference field="2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6A42E-94C8-4534-AF2F-A48C699B5C3A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Z14" firstHeaderRow="1" firstDataRow="2" firstDataCol="1" rowPageCount="1" colPageCount="1"/>
  <pivotFields count="8">
    <pivotField showAll="0"/>
    <pivotField showAll="0"/>
    <pivotField axis="axisRow" showAll="0">
      <items count="34">
        <item x="16"/>
        <item x="3"/>
        <item x="0"/>
        <item x="25"/>
        <item x="24"/>
        <item x="31"/>
        <item x="29"/>
        <item x="10"/>
        <item x="27"/>
        <item x="4"/>
        <item x="19"/>
        <item x="6"/>
        <item x="30"/>
        <item x="9"/>
        <item x="14"/>
        <item x="13"/>
        <item x="32"/>
        <item x="17"/>
        <item h="1" x="2"/>
        <item x="22"/>
        <item x="26"/>
        <item x="28"/>
        <item x="23"/>
        <item h="1" x="1"/>
        <item x="18"/>
        <item x="11"/>
        <item x="20"/>
        <item x="12"/>
        <item x="7"/>
        <item x="15"/>
        <item x="21"/>
        <item x="8"/>
        <item x="5"/>
        <item t="default"/>
      </items>
    </pivotField>
    <pivotField axis="axisPage" dataField="1" showAll="0">
      <items count="4">
        <item x="1"/>
        <item x="0"/>
        <item x="2"/>
        <item t="default"/>
      </items>
    </pivotField>
    <pivotField showAll="0"/>
    <pivotField showAll="0"/>
    <pivotField axis="axisCol" showAll="0" sortType="ascending">
      <items count="6">
        <item x="2"/>
        <item x="1"/>
        <item x="4"/>
        <item x="3"/>
        <item h="1" x="0"/>
        <item t="default"/>
      </items>
    </pivotField>
    <pivotField showAll="0"/>
  </pivotFields>
  <rowFields count="1">
    <field x="2"/>
  </rowFields>
  <rowItems count="10">
    <i>
      <x/>
    </i>
    <i>
      <x v="1"/>
    </i>
    <i>
      <x v="12"/>
    </i>
    <i>
      <x v="15"/>
    </i>
    <i>
      <x v="17"/>
    </i>
    <i>
      <x v="21"/>
    </i>
    <i>
      <x v="25"/>
    </i>
    <i>
      <x v="27"/>
    </i>
    <i>
      <x v="2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3" item="0" hier="-1"/>
  </pageFields>
  <dataFields count="1">
    <dataField name="Count of NO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FC9B5-3EE5-420C-8802-94FA6D7C83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C3:AI38" firstHeaderRow="1" firstDataRow="2" firstDataCol="2" rowPageCount="1" colPageCount="1"/>
  <pivotFields count="8">
    <pivotField compact="0" outline="0" showAll="0"/>
    <pivotField compact="0" outline="0" showAll="0"/>
    <pivotField axis="axisRow" dataField="1" compact="0" outline="0" showAll="0" sortType="descending">
      <items count="34">
        <item x="19"/>
        <item x="17"/>
        <item x="26"/>
        <item x="28"/>
        <item x="31"/>
        <item x="18"/>
        <item x="25"/>
        <item x="16"/>
        <item x="14"/>
        <item x="22"/>
        <item x="24"/>
        <item x="23"/>
        <item x="15"/>
        <item x="21"/>
        <item x="27"/>
        <item x="11"/>
        <item x="32"/>
        <item x="10"/>
        <item h="1" x="1"/>
        <item x="30"/>
        <item x="6"/>
        <item x="2"/>
        <item x="13"/>
        <item x="5"/>
        <item h="1" x="0"/>
        <item x="4"/>
        <item x="8"/>
        <item x="12"/>
        <item x="9"/>
        <item x="20"/>
        <item x="3"/>
        <item x="2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</pivotFields>
  <rowFields count="2">
    <field x="5"/>
    <field x="2"/>
  </rowFields>
  <rowItems count="34">
    <i>
      <x/>
      <x v="1"/>
    </i>
    <i r="1">
      <x v="11"/>
    </i>
    <i r="1">
      <x v="9"/>
    </i>
    <i t="default">
      <x/>
    </i>
    <i>
      <x v="1"/>
      <x v="11"/>
    </i>
    <i r="1">
      <x v="14"/>
    </i>
    <i r="1">
      <x v="26"/>
    </i>
    <i r="1">
      <x v="29"/>
    </i>
    <i r="1">
      <x v="28"/>
    </i>
    <i r="1">
      <x v="1"/>
    </i>
    <i r="1">
      <x v="13"/>
    </i>
    <i r="1">
      <x v="15"/>
    </i>
    <i t="default">
      <x v="1"/>
    </i>
    <i>
      <x v="2"/>
      <x v="31"/>
    </i>
    <i r="1">
      <x v="6"/>
    </i>
    <i r="1">
      <x v="2"/>
    </i>
    <i r="1">
      <x v="17"/>
    </i>
    <i r="1">
      <x v="13"/>
    </i>
    <i r="1">
      <x v="26"/>
    </i>
    <i r="1">
      <x v="15"/>
    </i>
    <i r="1">
      <x v="3"/>
    </i>
    <i r="1">
      <x v="9"/>
    </i>
    <i r="1">
      <x v="12"/>
    </i>
    <i r="1">
      <x v="19"/>
    </i>
    <i r="1">
      <x v="23"/>
    </i>
    <i r="1">
      <x v="27"/>
    </i>
    <i r="1">
      <x v="4"/>
    </i>
    <i r="1">
      <x v="10"/>
    </i>
    <i r="1">
      <x v="16"/>
    </i>
    <i r="1">
      <x v="14"/>
    </i>
    <i t="default">
      <x v="2"/>
    </i>
    <i>
      <x v="3"/>
      <x v="15"/>
    </i>
    <i t="default"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Count of Compoun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8CA2C-66F7-4098-BF96-D97B6129DCF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M41" firstHeaderRow="1" firstDataRow="2" firstDataCol="1"/>
  <pivotFields count="8">
    <pivotField showAll="0"/>
    <pivotField showAll="0"/>
    <pivotField axis="axisRow" showAll="0">
      <items count="34">
        <item x="16"/>
        <item x="3"/>
        <item x="0"/>
        <item x="25"/>
        <item x="24"/>
        <item x="31"/>
        <item x="29"/>
        <item x="10"/>
        <item x="27"/>
        <item x="4"/>
        <item x="19"/>
        <item x="6"/>
        <item x="30"/>
        <item x="9"/>
        <item x="14"/>
        <item x="13"/>
        <item x="17"/>
        <item h="1" x="2"/>
        <item x="22"/>
        <item x="26"/>
        <item x="28"/>
        <item x="23"/>
        <item h="1" x="1"/>
        <item x="18"/>
        <item x="11"/>
        <item x="20"/>
        <item x="12"/>
        <item x="7"/>
        <item x="15"/>
        <item x="21"/>
        <item h="1" x="8"/>
        <item x="5"/>
        <item x="32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O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EB33B-E4E2-4F43-A8E0-09DC5365EC1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M6" firstHeaderRow="1" firstDataRow="2" firstDataCol="1"/>
  <pivotFields count="8">
    <pivotField showAll="0"/>
    <pivotField showAll="0"/>
    <pivotField axis="axisRow" showAll="0">
      <items count="34">
        <item h="1" x="16"/>
        <item h="1" x="3"/>
        <item h="1" x="0"/>
        <item h="1" x="25"/>
        <item h="1" x="24"/>
        <item h="1" x="31"/>
        <item h="1" x="29"/>
        <item h="1" x="10"/>
        <item h="1" x="27"/>
        <item h="1" x="4"/>
        <item h="1" x="19"/>
        <item h="1" x="6"/>
        <item h="1" x="30"/>
        <item h="1" x="9"/>
        <item h="1" x="14"/>
        <item h="1" x="13"/>
        <item h="1" x="17"/>
        <item x="2"/>
        <item h="1" x="22"/>
        <item h="1" x="26"/>
        <item h="1" x="28"/>
        <item h="1" x="23"/>
        <item x="1"/>
        <item h="1" x="18"/>
        <item h="1" x="11"/>
        <item h="1" x="20"/>
        <item h="1" x="12"/>
        <item h="1" x="7"/>
        <item h="1" x="15"/>
        <item h="1" x="21"/>
        <item h="1" x="8"/>
        <item h="1" x="5"/>
        <item h="1" x="32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 v="17"/>
    </i>
    <i>
      <x v="2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O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575BA-F4E4-4813-9747-69CD44E1E1CB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3:AL8" firstHeaderRow="1" firstDataRow="1" firstDataCol="1" rowPageCount="1" colPageCount="1"/>
  <pivotFields count="8">
    <pivotField showAll="0"/>
    <pivotField showAll="0"/>
    <pivotField axis="axisPage" dataField="1" showAll="0" sortType="descending">
      <items count="34">
        <item x="8"/>
        <item x="21"/>
        <item x="15"/>
        <item x="7"/>
        <item x="12"/>
        <item x="20"/>
        <item x="11"/>
        <item x="18"/>
        <item x="1"/>
        <item x="23"/>
        <item x="28"/>
        <item x="5"/>
        <item x="26"/>
        <item x="22"/>
        <item x="2"/>
        <item x="17"/>
        <item x="32"/>
        <item x="13"/>
        <item x="14"/>
        <item x="9"/>
        <item x="30"/>
        <item x="6"/>
        <item x="19"/>
        <item x="4"/>
        <item x="27"/>
        <item x="10"/>
        <item x="29"/>
        <item x="31"/>
        <item x="24"/>
        <item x="25"/>
        <item x="0"/>
        <item x="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ount of Compound" fld="2" subtotal="count" baseField="0" baseItem="0"/>
  </dataFields>
  <formats count="4">
    <format dxfId="7">
      <pivotArea collapsedLevelsAreSubtotals="1" fieldPosition="0">
        <references count="1">
          <reference field="2" count="1">
            <x v="8"/>
          </reference>
        </references>
      </pivotArea>
    </format>
    <format dxfId="6">
      <pivotArea dataOnly="0" labelOnly="1" fieldPosition="0">
        <references count="1">
          <reference field="2" count="1">
            <x v="8"/>
          </reference>
        </references>
      </pivotArea>
    </format>
    <format dxfId="5">
      <pivotArea collapsedLevelsAreSubtotals="1" fieldPosition="0">
        <references count="1">
          <reference field="2" count="1">
            <x v="14"/>
          </reference>
        </references>
      </pivotArea>
    </format>
    <format dxfId="4">
      <pivotArea dataOnly="0" labelOnly="1" fieldPosition="0">
        <references count="1">
          <reference field="2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356DB-2619-439C-8CE2-4663709916F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4A8EA-05A3-4F66-AAF7-110FC79223DC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T185:U243" firstHeaderRow="1" firstDataRow="1" firstDataCol="1"/>
  <pivotFields count="14">
    <pivotField showAll="0"/>
    <pivotField showAll="0"/>
    <pivotField showAll="0"/>
    <pivotField axis="axisRow" showAll="0" sortType="descending">
      <items count="38">
        <item x="27"/>
        <item x="15"/>
        <item x="6"/>
        <item x="25"/>
        <item x="33"/>
        <item x="2"/>
        <item x="29"/>
        <item x="26"/>
        <item x="34"/>
        <item x="30"/>
        <item x="23"/>
        <item x="0"/>
        <item x="14"/>
        <item x="17"/>
        <item x="31"/>
        <item x="19"/>
        <item x="9"/>
        <item x="21"/>
        <item x="3"/>
        <item x="32"/>
        <item x="24"/>
        <item x="12"/>
        <item x="22"/>
        <item x="35"/>
        <item x="18"/>
        <item x="28"/>
        <item x="4"/>
        <item x="5"/>
        <item x="16"/>
        <item x="8"/>
        <item x="10"/>
        <item x="11"/>
        <item x="7"/>
        <item x="13"/>
        <item x="36"/>
        <item x="2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5"/>
        <item h="1" x="1"/>
        <item h="1" x="0"/>
        <item h="1" x="8"/>
        <item h="1" x="3"/>
        <item h="1" x="12"/>
        <item h="1" x="7"/>
        <item h="1" x="9"/>
        <item h="1" x="11"/>
        <item h="1" x="10"/>
        <item h="1" x="13"/>
        <item h="1" x="6"/>
        <item h="1" x="4"/>
        <item x="2"/>
        <item t="default"/>
      </items>
    </pivotField>
    <pivotField showAll="0"/>
    <pivotField showAll="0"/>
    <pivotField dataField="1" showAll="0"/>
  </pivotFields>
  <rowFields count="3">
    <field x="3"/>
    <field x="10"/>
    <field x="4"/>
  </rowFields>
  <rowItems count="58">
    <i>
      <x v="18"/>
    </i>
    <i r="1">
      <x v="13"/>
    </i>
    <i r="2">
      <x/>
    </i>
    <i>
      <x v="26"/>
    </i>
    <i r="1">
      <x v="13"/>
    </i>
    <i r="2">
      <x/>
    </i>
    <i>
      <x v="36"/>
    </i>
    <i r="1">
      <x v="13"/>
    </i>
    <i r="2">
      <x/>
    </i>
    <i>
      <x v="29"/>
    </i>
    <i r="1">
      <x v="13"/>
    </i>
    <i r="2">
      <x/>
    </i>
    <i>
      <x v="13"/>
    </i>
    <i r="1">
      <x v="13"/>
    </i>
    <i r="2">
      <x/>
    </i>
    <i>
      <x v="32"/>
    </i>
    <i r="1">
      <x v="13"/>
    </i>
    <i r="2">
      <x/>
    </i>
    <i>
      <x v="12"/>
    </i>
    <i r="1">
      <x v="13"/>
    </i>
    <i r="2">
      <x/>
    </i>
    <i>
      <x v="5"/>
    </i>
    <i r="1">
      <x v="13"/>
    </i>
    <i r="2">
      <x/>
    </i>
    <i>
      <x v="17"/>
    </i>
    <i r="1">
      <x v="13"/>
    </i>
    <i r="2">
      <x/>
    </i>
    <i>
      <x v="2"/>
    </i>
    <i r="1">
      <x v="13"/>
    </i>
    <i r="2">
      <x/>
    </i>
    <i>
      <x v="16"/>
    </i>
    <i r="1">
      <x v="13"/>
    </i>
    <i r="2">
      <x/>
    </i>
    <i>
      <x v="10"/>
    </i>
    <i r="1">
      <x v="13"/>
    </i>
    <i r="2">
      <x/>
    </i>
    <i>
      <x v="9"/>
    </i>
    <i r="1">
      <x v="13"/>
    </i>
    <i r="2">
      <x/>
    </i>
    <i>
      <x v="31"/>
    </i>
    <i r="1">
      <x v="13"/>
    </i>
    <i r="2">
      <x/>
    </i>
    <i>
      <x v="22"/>
    </i>
    <i r="1">
      <x v="13"/>
    </i>
    <i r="2">
      <x/>
    </i>
    <i>
      <x v="33"/>
    </i>
    <i r="1">
      <x v="13"/>
    </i>
    <i r="2">
      <x/>
    </i>
    <i>
      <x v="4"/>
    </i>
    <i r="1">
      <x v="13"/>
    </i>
    <i r="2">
      <x/>
    </i>
    <i>
      <x v="11"/>
    </i>
    <i r="1">
      <x v="13"/>
    </i>
    <i r="2">
      <x/>
    </i>
    <i>
      <x v="3"/>
    </i>
    <i r="1">
      <x v="13"/>
    </i>
    <i r="2">
      <x/>
    </i>
    <i t="grand">
      <x/>
    </i>
  </rowItems>
  <colItems count="1">
    <i/>
  </colItems>
  <dataFields count="1">
    <dataField name="Sum of C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329E7-432D-4F61-B4E6-463D055D2E1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8" firstHeaderRow="0" firstDataRow="1" firstDataCol="1" rowPageCount="2" colPageCount="1"/>
  <pivotFields count="13">
    <pivotField showAll="0"/>
    <pivotField showAll="0"/>
    <pivotField showAll="0"/>
    <pivotField axis="axisRow" showAll="0">
      <items count="41">
        <item h="1" x="27"/>
        <item h="1" x="15"/>
        <item h="1" x="6"/>
        <item h="1" x="25"/>
        <item h="1" x="33"/>
        <item h="1" x="2"/>
        <item h="1" x="29"/>
        <item h="1" x="26"/>
        <item h="1" x="34"/>
        <item h="1" x="30"/>
        <item h="1" x="23"/>
        <item h="1" x="0"/>
        <item h="1" x="14"/>
        <item h="1" x="17"/>
        <item h="1" x="31"/>
        <item h="1" x="19"/>
        <item h="1" x="9"/>
        <item h="1" m="1" x="39"/>
        <item h="1" x="21"/>
        <item x="3"/>
        <item h="1" x="24"/>
        <item h="1" x="12"/>
        <item h="1" x="22"/>
        <item h="1" x="18"/>
        <item h="1" x="28"/>
        <item x="4"/>
        <item h="1" x="5"/>
        <item h="1" x="16"/>
        <item h="1" x="8"/>
        <item h="1" x="10"/>
        <item h="1" x="11"/>
        <item h="1" x="7"/>
        <item h="1" x="13"/>
        <item h="1" x="20"/>
        <item h="1" x="1"/>
        <item h="1" x="37"/>
        <item h="1" m="1" x="38"/>
        <item h="1" x="32"/>
        <item h="1" x="35"/>
        <item h="1" x="36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Page" multipleItemSelectionAllowed="1" showAll="0">
      <items count="16">
        <item h="1" x="1"/>
        <item h="1" x="0"/>
        <item h="1" x="8"/>
        <item h="1" x="3"/>
        <item h="1" x="12"/>
        <item h="1" x="7"/>
        <item x="2"/>
        <item h="1" x="9"/>
        <item h="1" x="11"/>
        <item h="1" x="10"/>
        <item h="1" x="5"/>
        <item h="1" x="4"/>
        <item h="1" x="13"/>
        <item h="1" m="1" x="14"/>
        <item h="1" x="6"/>
        <item t="default"/>
      </items>
    </pivotField>
    <pivotField showAll="0"/>
    <pivotField axis="axisPage" multipleItemSelectionAllowed="1" showAll="0">
      <items count="13">
        <item h="1" x="4"/>
        <item h="1" x="7"/>
        <item x="2"/>
        <item h="1" x="1"/>
        <item h="1" x="10"/>
        <item h="1" x="5"/>
        <item h="1" x="8"/>
        <item h="1" x="11"/>
        <item h="1" x="3"/>
        <item h="1" x="6"/>
        <item h="1" x="9"/>
        <item x="0"/>
        <item t="default"/>
      </items>
    </pivotField>
  </pivotFields>
  <rowFields count="1">
    <field x="3"/>
  </rowFields>
  <rowItems count="3">
    <i>
      <x v="19"/>
    </i>
    <i>
      <x v="25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12" hier="-1"/>
  </pageFields>
  <dataFields count="2">
    <dataField name="Count of NOTE" fld="4" subtotal="count" baseField="0" baseItem="0"/>
    <dataField name="Sum of NETTO" fld="9" baseField="3" baseItem="2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6F031-CA34-433E-B268-15071950A05D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35" firstHeaderRow="0" firstDataRow="1" firstDataCol="1" rowPageCount="3" colPageCount="1"/>
  <pivotFields count="13">
    <pivotField showAll="0"/>
    <pivotField showAll="0"/>
    <pivotField showAll="0"/>
    <pivotField axis="axisRow" multipleItemSelectionAllowed="1" showAll="0">
      <items count="41">
        <item x="27"/>
        <item x="15"/>
        <item x="6"/>
        <item x="25"/>
        <item x="33"/>
        <item x="2"/>
        <item x="29"/>
        <item x="26"/>
        <item x="34"/>
        <item x="30"/>
        <item x="23"/>
        <item x="0"/>
        <item x="14"/>
        <item x="17"/>
        <item x="31"/>
        <item x="19"/>
        <item x="9"/>
        <item m="1" x="39"/>
        <item x="21"/>
        <item h="1" x="3"/>
        <item x="24"/>
        <item x="12"/>
        <item x="22"/>
        <item x="18"/>
        <item x="28"/>
        <item h="1" x="4"/>
        <item x="5"/>
        <item x="16"/>
        <item x="8"/>
        <item x="10"/>
        <item x="11"/>
        <item x="7"/>
        <item x="13"/>
        <item x="20"/>
        <item x="1"/>
        <item x="37"/>
        <item m="1" x="38"/>
        <item x="32"/>
        <item x="35"/>
        <item x="36"/>
        <item t="default"/>
      </items>
    </pivotField>
    <pivotField axis="axisPage" dataField="1" multipleItemSelectionAllowed="1" showAll="0">
      <items count="5">
        <item x="0"/>
        <item m="1" x="3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16">
        <item h="1" x="1"/>
        <item h="1" x="0"/>
        <item h="1" x="8"/>
        <item h="1" x="3"/>
        <item h="1" x="12"/>
        <item h="1" x="7"/>
        <item x="2"/>
        <item h="1" x="9"/>
        <item h="1" x="11"/>
        <item h="1" x="10"/>
        <item h="1" x="5"/>
        <item h="1" x="4"/>
        <item h="1" x="13"/>
        <item h="1" m="1" x="14"/>
        <item h="1" x="6"/>
        <item t="default"/>
      </items>
    </pivotField>
    <pivotField showAll="0"/>
    <pivotField axis="axisPage" multipleItemSelectionAllowed="1" showAll="0">
      <items count="13">
        <item h="1" x="4"/>
        <item h="1" x="7"/>
        <item x="2"/>
        <item h="1" x="1"/>
        <item h="1" x="10"/>
        <item h="1" x="5"/>
        <item h="1" x="8"/>
        <item h="1" x="11"/>
        <item h="1" x="3"/>
        <item h="1" x="6"/>
        <item h="1" x="9"/>
        <item x="0"/>
        <item t="default"/>
      </items>
    </pivotField>
  </pivotFields>
  <rowFields count="1">
    <field x="3"/>
  </rowFields>
  <rowItems count="17">
    <i>
      <x v="2"/>
    </i>
    <i>
      <x v="3"/>
    </i>
    <i>
      <x v="4"/>
    </i>
    <i>
      <x v="5"/>
    </i>
    <i>
      <x v="9"/>
    </i>
    <i>
      <x v="10"/>
    </i>
    <i>
      <x v="12"/>
    </i>
    <i>
      <x v="13"/>
    </i>
    <i>
      <x v="16"/>
    </i>
    <i>
      <x v="18"/>
    </i>
    <i>
      <x v="22"/>
    </i>
    <i>
      <x v="28"/>
    </i>
    <i>
      <x v="30"/>
    </i>
    <i>
      <x v="31"/>
    </i>
    <i>
      <x v="32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4" hier="-1"/>
    <pageField fld="12" hier="-1"/>
  </pageFields>
  <dataFields count="2">
    <dataField name="Count of NOTE" fld="4" subtotal="count" baseField="0" baseItem="0"/>
    <dataField name="Sum of NETTO" fld="9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08F80-C45E-4E2A-9E75-B938E3617F37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Y43" firstHeaderRow="1" firstDataRow="2" firstDataCol="1"/>
  <pivotFields count="13">
    <pivotField showAll="0"/>
    <pivotField showAll="0"/>
    <pivotField showAll="0"/>
    <pivotField axis="axisRow" showAll="0">
      <items count="41">
        <item x="27"/>
        <item x="15"/>
        <item x="6"/>
        <item x="25"/>
        <item x="33"/>
        <item x="2"/>
        <item x="29"/>
        <item x="26"/>
        <item x="34"/>
        <item x="30"/>
        <item x="23"/>
        <item x="0"/>
        <item x="14"/>
        <item x="17"/>
        <item x="31"/>
        <item x="19"/>
        <item x="9"/>
        <item m="1" x="39"/>
        <item x="21"/>
        <item x="3"/>
        <item x="24"/>
        <item x="12"/>
        <item x="22"/>
        <item x="18"/>
        <item x="28"/>
        <item x="4"/>
        <item x="5"/>
        <item x="16"/>
        <item x="8"/>
        <item x="10"/>
        <item x="11"/>
        <item x="7"/>
        <item x="13"/>
        <item x="20"/>
        <item x="1"/>
        <item x="37"/>
        <item m="1" x="38"/>
        <item x="32"/>
        <item x="35"/>
        <item x="36"/>
        <item t="default"/>
      </items>
    </pivotField>
    <pivotField axis="axisCol" showAll="0">
      <items count="5">
        <item x="0"/>
        <item m="1"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 t="grand">
      <x/>
    </i>
  </rowItems>
  <colFields count="1">
    <field x="4"/>
  </colFields>
  <colItems count="4">
    <i>
      <x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F7AB2-C3BA-4ADC-A327-AE8ED28AE33F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R33" firstHeaderRow="1" firstDataRow="2" firstDataCol="1"/>
  <pivotFields count="13">
    <pivotField showAll="0"/>
    <pivotField showAll="0"/>
    <pivotField showAll="0"/>
    <pivotField axis="axisRow" showAll="0">
      <items count="41">
        <item x="27"/>
        <item x="15"/>
        <item x="6"/>
        <item x="25"/>
        <item x="33"/>
        <item x="2"/>
        <item x="29"/>
        <item x="26"/>
        <item x="34"/>
        <item x="30"/>
        <item x="23"/>
        <item x="0"/>
        <item x="14"/>
        <item x="17"/>
        <item x="31"/>
        <item x="19"/>
        <item x="9"/>
        <item m="1" x="39"/>
        <item x="21"/>
        <item x="3"/>
        <item x="24"/>
        <item x="12"/>
        <item x="22"/>
        <item x="18"/>
        <item x="28"/>
        <item x="4"/>
        <item x="5"/>
        <item x="16"/>
        <item x="8"/>
        <item x="10"/>
        <item x="11"/>
        <item x="7"/>
        <item x="13"/>
        <item x="20"/>
        <item x="1"/>
        <item x="37"/>
        <item m="1" x="38"/>
        <item x="32"/>
        <item x="35"/>
        <item x="36"/>
        <item t="default"/>
      </items>
    </pivotField>
    <pivotField axis="axisCol" showAll="0">
      <items count="5">
        <item x="0"/>
        <item h="1" m="1" x="3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1"/>
    </i>
    <i>
      <x v="22"/>
    </i>
    <i>
      <x v="25"/>
    </i>
    <i>
      <x v="28"/>
    </i>
    <i>
      <x v="29"/>
    </i>
    <i>
      <x v="30"/>
    </i>
    <i>
      <x v="31"/>
    </i>
    <i>
      <x v="32"/>
    </i>
    <i>
      <x v="33"/>
    </i>
    <i>
      <x v="34"/>
    </i>
    <i>
      <x v="38"/>
    </i>
    <i>
      <x v="39"/>
    </i>
    <i t="grand">
      <x/>
    </i>
  </rowItems>
  <colFields count="1">
    <field x="4"/>
  </colFields>
  <colItems count="2">
    <i>
      <x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E21D2-A246-44EF-B571-4A6850F41E7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L42" firstHeaderRow="0" firstDataRow="1" firstDataCol="1" rowPageCount="3" colPageCount="1"/>
  <pivotFields count="14">
    <pivotField showAll="0"/>
    <pivotField showAll="0"/>
    <pivotField dataField="1" showAll="0"/>
    <pivotField axis="axisRow" multipleItemSelectionAllowed="1" showAll="0">
      <items count="43">
        <item x="26"/>
        <item x="15"/>
        <item x="5"/>
        <item x="25"/>
        <item x="33"/>
        <item x="2"/>
        <item x="28"/>
        <item x="18"/>
        <item x="34"/>
        <item x="29"/>
        <item x="23"/>
        <item x="0"/>
        <item x="9"/>
        <item x="17"/>
        <item x="30"/>
        <item x="21"/>
        <item x="7"/>
        <item x="24"/>
        <item x="3"/>
        <item x="16"/>
        <item x="13"/>
        <item x="8"/>
        <item x="20"/>
        <item x="27"/>
        <item x="11"/>
        <item x="4"/>
        <item x="19"/>
        <item x="14"/>
        <item x="10"/>
        <item x="12"/>
        <item x="6"/>
        <item x="31"/>
        <item x="22"/>
        <item x="1"/>
        <item x="40"/>
        <item x="32"/>
        <item x="35"/>
        <item x="36"/>
        <item m="1" x="41"/>
        <item x="37"/>
        <item x="38"/>
        <item x="39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24">
        <item h="1" x="1"/>
        <item h="1" x="0"/>
        <item h="1" x="14"/>
        <item h="1" x="3"/>
        <item h="1" x="13"/>
        <item h="1" x="10"/>
        <item x="2"/>
        <item h="1" x="15"/>
        <item h="1" x="16"/>
        <item h="1" x="17"/>
        <item h="1" x="4"/>
        <item h="1" x="8"/>
        <item h="1" x="12"/>
        <item h="1" m="1" x="21"/>
        <item h="1" m="1" x="22"/>
        <item h="1" x="18"/>
        <item h="1" x="11"/>
        <item h="1" x="5"/>
        <item h="1" x="6"/>
        <item h="1" x="9"/>
        <item h="1" x="20"/>
        <item h="1" x="7"/>
        <item h="1" x="19"/>
        <item t="default"/>
      </items>
    </pivotField>
    <pivotField showAll="0"/>
    <pivotField axis="axisPage" multipleItemSelectionAllowed="1" showAll="0">
      <items count="17">
        <item h="1" x="7"/>
        <item h="1" x="10"/>
        <item x="3"/>
        <item h="1" x="1"/>
        <item h="1" x="14"/>
        <item h="1" x="8"/>
        <item h="1" x="11"/>
        <item h="1" x="15"/>
        <item h="1" x="6"/>
        <item h="1" x="9"/>
        <item h="1" x="12"/>
        <item x="0"/>
        <item h="1" x="2"/>
        <item h="1" x="4"/>
        <item h="1" x="5"/>
        <item h="1" x="13"/>
        <item t="default"/>
      </items>
    </pivotField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5"/>
    </i>
    <i>
      <x v="7"/>
    </i>
    <i>
      <x v="12"/>
    </i>
    <i>
      <x v="17"/>
    </i>
    <i>
      <x v="18"/>
    </i>
    <i>
      <x v="19"/>
    </i>
    <i>
      <x v="24"/>
    </i>
    <i>
      <x v="25"/>
    </i>
    <i>
      <x v="27"/>
    </i>
    <i>
      <x v="33"/>
    </i>
    <i>
      <x v="34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4" hier="-1"/>
    <pageField fld="12" hier="-1"/>
  </pageFields>
  <dataFields count="2">
    <dataField name="Count of Rack" fld="2" subtotal="count" baseField="0" baseItem="0"/>
    <dataField name="Sum of NETTO" fld="9" baseField="3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DC9E1-0E29-4B8E-BE35-8B1708E749CF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3:H36" firstHeaderRow="0" firstDataRow="1" firstDataCol="1" rowPageCount="3" colPageCount="1"/>
  <pivotFields count="14">
    <pivotField showAll="0"/>
    <pivotField showAll="0"/>
    <pivotField dataField="1" showAll="0"/>
    <pivotField axis="axisRow" multipleItemSelectionAllowed="1" showAll="0">
      <items count="43">
        <item x="26"/>
        <item x="15"/>
        <item x="5"/>
        <item x="25"/>
        <item x="33"/>
        <item x="2"/>
        <item x="28"/>
        <item x="18"/>
        <item x="34"/>
        <item x="29"/>
        <item x="23"/>
        <item x="0"/>
        <item x="9"/>
        <item x="17"/>
        <item x="30"/>
        <item x="21"/>
        <item x="7"/>
        <item x="24"/>
        <item h="1" x="3"/>
        <item x="16"/>
        <item x="13"/>
        <item x="8"/>
        <item x="20"/>
        <item x="27"/>
        <item h="1" x="11"/>
        <item x="4"/>
        <item x="19"/>
        <item x="14"/>
        <item x="10"/>
        <item x="12"/>
        <item x="6"/>
        <item x="31"/>
        <item x="22"/>
        <item x="1"/>
        <item x="40"/>
        <item h="1" x="32"/>
        <item h="1" x="35"/>
        <item h="1" x="36"/>
        <item h="1" m="1" x="41"/>
        <item h="1" x="37"/>
        <item h="1" x="38"/>
        <item h="1" x="39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24">
        <item h="1" x="1"/>
        <item h="1" x="0"/>
        <item h="1" x="14"/>
        <item h="1" x="3"/>
        <item h="1" x="13"/>
        <item h="1" x="10"/>
        <item x="2"/>
        <item h="1" x="15"/>
        <item h="1" x="16"/>
        <item h="1" x="17"/>
        <item h="1" x="4"/>
        <item h="1" x="8"/>
        <item h="1" x="12"/>
        <item h="1" m="1" x="21"/>
        <item h="1" m="1" x="22"/>
        <item h="1" x="18"/>
        <item h="1" x="11"/>
        <item h="1" x="5"/>
        <item h="1" x="6"/>
        <item h="1" x="9"/>
        <item h="1" x="20"/>
        <item h="1" x="7"/>
        <item h="1" x="19"/>
        <item t="default"/>
      </items>
    </pivotField>
    <pivotField showAll="0"/>
    <pivotField axis="axisPage" multipleItemSelectionAllowed="1" showAll="0">
      <items count="17">
        <item h="1" x="7"/>
        <item h="1" x="10"/>
        <item x="3"/>
        <item h="1" x="1"/>
        <item h="1" x="14"/>
        <item h="1" x="8"/>
        <item h="1" x="11"/>
        <item h="1" x="15"/>
        <item h="1" x="6"/>
        <item h="1" x="9"/>
        <item h="1" x="12"/>
        <item x="0"/>
        <item h="1" x="2"/>
        <item h="1" x="4"/>
        <item h="1" x="5"/>
        <item h="1" x="13"/>
        <item t="default"/>
      </items>
    </pivotField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5"/>
    </i>
    <i>
      <x v="7"/>
    </i>
    <i>
      <x v="12"/>
    </i>
    <i>
      <x v="17"/>
    </i>
    <i>
      <x v="19"/>
    </i>
    <i>
      <x v="25"/>
    </i>
    <i>
      <x v="27"/>
    </i>
    <i>
      <x v="33"/>
    </i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4" hier="-1"/>
    <pageField fld="12" hier="-1"/>
  </pageFields>
  <dataFields count="2">
    <dataField name="Count of Rack" fld="2" subtotal="count" baseField="0" baseItem="0"/>
    <dataField name="Sum of NETTO" fld="9" baseField="3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464BA-A82E-475E-9BDF-FFF65D13B788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24" firstHeaderRow="0" firstDataRow="1" firstDataCol="1" rowPageCount="3" colPageCount="1"/>
  <pivotFields count="14">
    <pivotField showAll="0"/>
    <pivotField showAll="0"/>
    <pivotField dataField="1" showAll="0"/>
    <pivotField axis="axisRow" multipleItemSelectionAllowed="1" showAll="0">
      <items count="43">
        <item x="26"/>
        <item x="15"/>
        <item x="5"/>
        <item x="25"/>
        <item x="33"/>
        <item x="2"/>
        <item x="28"/>
        <item x="18"/>
        <item x="34"/>
        <item x="29"/>
        <item x="23"/>
        <item x="0"/>
        <item x="9"/>
        <item x="17"/>
        <item x="30"/>
        <item x="21"/>
        <item x="7"/>
        <item x="24"/>
        <item h="1" x="3"/>
        <item x="16"/>
        <item x="13"/>
        <item x="8"/>
        <item x="20"/>
        <item x="27"/>
        <item h="1" x="11"/>
        <item x="4"/>
        <item x="19"/>
        <item x="14"/>
        <item x="10"/>
        <item x="12"/>
        <item x="6"/>
        <item x="31"/>
        <item x="22"/>
        <item x="1"/>
        <item x="40"/>
        <item h="1" x="32"/>
        <item h="1" x="35"/>
        <item h="1" x="36"/>
        <item h="1" m="1" x="41"/>
        <item h="1" x="37"/>
        <item h="1" x="38"/>
        <item h="1" x="39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24">
        <item h="1" x="1"/>
        <item h="1" x="0"/>
        <item h="1" x="14"/>
        <item h="1" x="3"/>
        <item h="1" x="13"/>
        <item h="1" x="10"/>
        <item x="2"/>
        <item h="1" x="15"/>
        <item h="1" x="16"/>
        <item h="1" x="17"/>
        <item h="1" x="4"/>
        <item h="1" x="8"/>
        <item h="1" x="12"/>
        <item h="1" m="1" x="21"/>
        <item h="1" m="1" x="22"/>
        <item h="1" x="18"/>
        <item h="1" x="11"/>
        <item h="1" x="5"/>
        <item h="1" x="6"/>
        <item h="1" x="9"/>
        <item h="1" x="20"/>
        <item h="1" x="7"/>
        <item h="1" x="19"/>
        <item t="default"/>
      </items>
    </pivotField>
    <pivotField showAll="0"/>
    <pivotField axis="axisPage" multipleItemSelectionAllowed="1" showAll="0">
      <items count="17">
        <item h="1" x="7"/>
        <item h="1" x="10"/>
        <item x="3"/>
        <item h="1" x="1"/>
        <item h="1" x="14"/>
        <item h="1" x="8"/>
        <item h="1" x="11"/>
        <item h="1" x="15"/>
        <item h="1" x="6"/>
        <item h="1" x="9"/>
        <item h="1" x="12"/>
        <item x="0"/>
        <item h="1" x="2"/>
        <item h="1" x="4"/>
        <item h="1" x="5"/>
        <item h="1" x="13"/>
        <item t="default"/>
      </items>
    </pivotField>
    <pivotField showAll="0"/>
  </pivotFields>
  <rowFields count="1">
    <field x="3"/>
  </rowFields>
  <rowItems count="1"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4" hier="-1"/>
    <pageField fld="12" hier="-1"/>
  </pageFields>
  <dataFields count="2">
    <dataField name="Count of Rack" fld="2" subtotal="count" baseField="0" baseItem="0"/>
    <dataField name="Sum of NETTO" fld="9" baseField="3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3C0BE-4D92-4DB9-8C9F-D0ABFF3E6A4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8" firstHeaderRow="0" firstDataRow="1" firstDataCol="1" rowPageCount="3" colPageCount="1"/>
  <pivotFields count="14">
    <pivotField showAll="0"/>
    <pivotField showAll="0"/>
    <pivotField dataField="1" showAll="0"/>
    <pivotField axis="axisRow" multipleItemSelectionAllowed="1" showAll="0">
      <items count="43">
        <item h="1" x="26"/>
        <item h="1" x="15"/>
        <item h="1" x="5"/>
        <item h="1" x="25"/>
        <item h="1" x="33"/>
        <item h="1" x="2"/>
        <item h="1" x="28"/>
        <item h="1" x="18"/>
        <item h="1" x="34"/>
        <item h="1" x="29"/>
        <item h="1" x="23"/>
        <item h="1" x="0"/>
        <item h="1" x="9"/>
        <item h="1" x="17"/>
        <item h="1" x="30"/>
        <item h="1" x="21"/>
        <item h="1" x="7"/>
        <item h="1" x="24"/>
        <item x="3"/>
        <item h="1" x="16"/>
        <item h="1" x="13"/>
        <item h="1" x="8"/>
        <item h="1" x="20"/>
        <item h="1" x="27"/>
        <item x="11"/>
        <item h="1" x="4"/>
        <item h="1" x="19"/>
        <item h="1" x="14"/>
        <item h="1" x="10"/>
        <item h="1" x="12"/>
        <item h="1" x="6"/>
        <item h="1" x="31"/>
        <item h="1" x="22"/>
        <item h="1" x="1"/>
        <item h="1" x="40"/>
        <item h="1" x="32"/>
        <item h="1" x="35"/>
        <item h="1" x="36"/>
        <item h="1" m="1" x="41"/>
        <item h="1" x="37"/>
        <item h="1" x="38"/>
        <item h="1" x="39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24">
        <item h="1" x="1"/>
        <item h="1" x="0"/>
        <item h="1" x="14"/>
        <item h="1" x="3"/>
        <item h="1" x="13"/>
        <item h="1" x="10"/>
        <item x="2"/>
        <item h="1" x="15"/>
        <item h="1" x="16"/>
        <item h="1" x="17"/>
        <item x="4"/>
        <item x="8"/>
        <item h="1" x="12"/>
        <item h="1" m="1" x="21"/>
        <item h="1" m="1" x="22"/>
        <item h="1" x="18"/>
        <item h="1" x="11"/>
        <item h="1" x="5"/>
        <item h="1" x="6"/>
        <item h="1" x="9"/>
        <item h="1" x="20"/>
        <item h="1" x="7"/>
        <item h="1" x="19"/>
        <item t="default"/>
      </items>
    </pivotField>
    <pivotField showAll="0"/>
    <pivotField axis="axisPage" multipleItemSelectionAllowed="1" showAll="0">
      <items count="17">
        <item h="1" x="7"/>
        <item h="1" x="10"/>
        <item x="3"/>
        <item h="1" x="1"/>
        <item h="1" x="14"/>
        <item h="1" x="8"/>
        <item h="1" x="11"/>
        <item h="1" x="15"/>
        <item h="1" x="6"/>
        <item h="1" x="9"/>
        <item h="1" x="12"/>
        <item x="0"/>
        <item h="1" x="2"/>
        <item h="1" x="4"/>
        <item h="1" x="5"/>
        <item h="1" x="13"/>
        <item t="default"/>
      </items>
    </pivotField>
    <pivotField showAll="0"/>
  </pivotFields>
  <rowFields count="1">
    <field x="3"/>
  </rowFields>
  <rowItems count="3">
    <i>
      <x v="18"/>
    </i>
    <i>
      <x v="24"/>
    </i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4" hier="-1"/>
    <pageField fld="12" hier="-1"/>
  </pageFields>
  <dataFields count="2">
    <dataField name="Count of Rack" fld="2" subtotal="count" baseField="0" baseItem="0"/>
    <dataField name="Sum of NETTO" fld="9" baseField="3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81EFA-0BBD-4CA8-9467-9FF2E30ED0E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0">
    <pivotField dataField="1" showAll="0"/>
    <pivotField showAll="0"/>
    <pivotField showAll="0"/>
    <pivotField showAll="0"/>
    <pivotField axis="axisRow" showAll="0">
      <items count="18">
        <item x="0"/>
        <item x="11"/>
        <item x="2"/>
        <item x="5"/>
        <item x="1"/>
        <item x="8"/>
        <item x="6"/>
        <item x="3"/>
        <item x="4"/>
        <item x="10"/>
        <item x="7"/>
        <item x="16"/>
        <item x="9"/>
        <item x="12"/>
        <item x="13"/>
        <item x="14"/>
        <item x="15"/>
        <item t="default"/>
      </items>
    </pivotField>
    <pivotField showAll="0"/>
    <pivotField showAll="0"/>
    <pivotField axis="axisPage" multipleItemSelectionAllowed="1" showAll="0">
      <items count="10">
        <item h="1" x="5"/>
        <item h="1" x="0"/>
        <item x="1"/>
        <item h="1" x="6"/>
        <item h="1" x="7"/>
        <item h="1" x="3"/>
        <item h="1" x="4"/>
        <item h="1" x="2"/>
        <item h="1" x="8"/>
        <item t="default"/>
      </items>
    </pivotField>
    <pivotField axis="axisRow" showAll="0">
      <items count="10">
        <item x="3"/>
        <item x="4"/>
        <item x="5"/>
        <item x="0"/>
        <item x="2"/>
        <item x="8"/>
        <item x="1"/>
        <item x="6"/>
        <item x="7"/>
        <item t="default"/>
      </items>
    </pivotField>
    <pivotField showAll="0"/>
  </pivotFields>
  <rowFields count="2">
    <field x="8"/>
    <field x="4"/>
  </rowFields>
  <rowItems count="27">
    <i>
      <x/>
    </i>
    <i r="1">
      <x v="4"/>
    </i>
    <i r="1">
      <x v="5"/>
    </i>
    <i r="1">
      <x v="14"/>
    </i>
    <i r="1">
      <x v="16"/>
    </i>
    <i>
      <x v="1"/>
    </i>
    <i r="1">
      <x v="3"/>
    </i>
    <i r="1">
      <x v="4"/>
    </i>
    <i r="1">
      <x v="5"/>
    </i>
    <i>
      <x v="2"/>
    </i>
    <i r="1">
      <x v="9"/>
    </i>
    <i>
      <x v="3"/>
    </i>
    <i r="1">
      <x v="4"/>
    </i>
    <i r="1">
      <x v="9"/>
    </i>
    <i>
      <x v="4"/>
    </i>
    <i r="1">
      <x v="4"/>
    </i>
    <i r="1">
      <x v="5"/>
    </i>
    <i r="1">
      <x v="10"/>
    </i>
    <i>
      <x v="5"/>
    </i>
    <i r="1">
      <x v="11"/>
    </i>
    <i>
      <x v="6"/>
    </i>
    <i r="1">
      <x v="3"/>
    </i>
    <i r="1">
      <x v="6"/>
    </i>
    <i r="1">
      <x v="11"/>
    </i>
    <i>
      <x v="8"/>
    </i>
    <i r="1">
      <x v="15"/>
    </i>
    <i t="grand">
      <x/>
    </i>
  </rowItems>
  <colItems count="1">
    <i/>
  </colItems>
  <pageFields count="1">
    <pageField fld="7" hier="-1"/>
  </pageFields>
  <dataFields count="1">
    <dataField name="Count of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F3ED5-E869-4EC0-81F0-672F47F4403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32" firstHeaderRow="1" firstDataRow="1" firstDataCol="1" rowPageCount="1" colPageCount="1"/>
  <pivotFields count="10">
    <pivotField dataField="1" showAll="0"/>
    <pivotField showAll="0"/>
    <pivotField showAll="0"/>
    <pivotField showAll="0"/>
    <pivotField axis="axisRow" showAll="0">
      <items count="22">
        <item x="16"/>
        <item x="18"/>
        <item x="5"/>
        <item x="4"/>
        <item x="1"/>
        <item x="17"/>
        <item x="9"/>
        <item x="2"/>
        <item x="7"/>
        <item x="19"/>
        <item x="6"/>
        <item x="0"/>
        <item x="14"/>
        <item x="3"/>
        <item x="8"/>
        <item x="20"/>
        <item x="12"/>
        <item x="11"/>
        <item x="13"/>
        <item x="10"/>
        <item x="15"/>
        <item t="default"/>
      </items>
    </pivotField>
    <pivotField showAll="0"/>
    <pivotField showAll="0"/>
    <pivotField axis="axisPage" showAll="0">
      <items count="15">
        <item x="4"/>
        <item x="5"/>
        <item x="10"/>
        <item x="11"/>
        <item x="9"/>
        <item x="7"/>
        <item x="2"/>
        <item x="6"/>
        <item x="12"/>
        <item x="13"/>
        <item x="8"/>
        <item x="0"/>
        <item x="1"/>
        <item x="3"/>
        <item t="default"/>
      </items>
    </pivotField>
    <pivotField axis="axisRow" showAll="0">
      <items count="17">
        <item x="9"/>
        <item x="3"/>
        <item m="1" x="15"/>
        <item x="7"/>
        <item x="6"/>
        <item x="5"/>
        <item x="13"/>
        <item x="4"/>
        <item x="14"/>
        <item x="11"/>
        <item x="0"/>
        <item x="8"/>
        <item x="10"/>
        <item x="1"/>
        <item x="2"/>
        <item x="12"/>
        <item t="default"/>
      </items>
    </pivotField>
    <pivotField showAll="0"/>
  </pivotFields>
  <rowFields count="2">
    <field x="8"/>
    <field x="4"/>
  </rowFields>
  <rowItems count="28">
    <i>
      <x v="1"/>
    </i>
    <i r="1">
      <x v="3"/>
    </i>
    <i r="1">
      <x v="4"/>
    </i>
    <i r="1">
      <x v="7"/>
    </i>
    <i r="1">
      <x v="12"/>
    </i>
    <i r="1">
      <x v="18"/>
    </i>
    <i>
      <x v="4"/>
    </i>
    <i r="1">
      <x v="13"/>
    </i>
    <i>
      <x v="7"/>
    </i>
    <i r="1">
      <x v="4"/>
    </i>
    <i r="1">
      <x v="7"/>
    </i>
    <i r="1">
      <x v="12"/>
    </i>
    <i>
      <x v="8"/>
    </i>
    <i r="1">
      <x v="15"/>
    </i>
    <i>
      <x v="10"/>
    </i>
    <i r="1">
      <x v="3"/>
    </i>
    <i r="1">
      <x v="12"/>
    </i>
    <i r="1">
      <x v="20"/>
    </i>
    <i>
      <x v="11"/>
    </i>
    <i r="1">
      <x v="16"/>
    </i>
    <i>
      <x v="12"/>
    </i>
    <i r="1">
      <x v="16"/>
    </i>
    <i r="1">
      <x v="18"/>
    </i>
    <i>
      <x v="13"/>
    </i>
    <i r="1">
      <x v="4"/>
    </i>
    <i>
      <x v="15"/>
    </i>
    <i r="1">
      <x v="17"/>
    </i>
    <i t="grand">
      <x/>
    </i>
  </rowItems>
  <colItems count="1">
    <i/>
  </colItems>
  <pageFields count="1">
    <pageField fld="7" item="6" hier="-1"/>
  </pageFields>
  <dataFields count="1">
    <dataField name="Count of NO." fld="0" subtotal="count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94685-6BE3-47D2-957A-8DF8FE514D53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:D34" firstHeaderRow="1" firstDataRow="2" firstDataCol="1"/>
  <pivotFields count="9">
    <pivotField showAll="0"/>
    <pivotField showAll="0"/>
    <pivotField dataField="1" showAll="0"/>
    <pivotField showAll="0"/>
    <pivotField showAll="0"/>
    <pivotField axis="axisCol" showAll="0">
      <items count="10">
        <item x="1"/>
        <item x="2"/>
        <item x="0"/>
        <item h="1" x="3"/>
        <item h="1" x="4"/>
        <item h="1" x="5"/>
        <item h="1" x="6"/>
        <item h="1" x="7"/>
        <item h="1" x="8"/>
        <item t="default"/>
      </items>
    </pivotField>
    <pivotField showAll="0"/>
    <pivotField showAll="0"/>
    <pivotField axis="axisRow" showAll="0">
      <items count="39">
        <item h="1" x="2"/>
        <item h="1" x="5"/>
        <item h="1" x="0"/>
        <item h="1" x="1"/>
        <item h="1" x="4"/>
        <item h="1" x="6"/>
        <item x="7"/>
        <item x="8"/>
        <item x="3"/>
        <item x="9"/>
        <item x="10"/>
        <item x="11"/>
        <item x="12"/>
        <item x="13"/>
        <item h="1" x="16"/>
        <item x="14"/>
        <item x="15"/>
        <item x="17"/>
        <item h="1" m="1" x="37"/>
        <item x="18"/>
        <item x="19"/>
        <item x="20"/>
        <item x="21"/>
        <item x="22"/>
        <item x="23"/>
        <item x="24"/>
        <item x="25"/>
        <item x="26"/>
        <item m="1" x="3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 count="1">
    <field x="8"/>
  </rowFields>
  <rowItems count="3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ompound" fld="2" subtotal="count" baseField="0" baseItem="0"/>
  </dataFields>
  <chartFormats count="1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rinterSettings" Target="../printerSettings/printerSettings8.bin"/><Relationship Id="rId4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1941-AE55-4B7D-B378-DB36DDA38FA0}">
  <dimension ref="A1:AL201"/>
  <sheetViews>
    <sheetView zoomScale="110" zoomScaleNormal="110" workbookViewId="0">
      <pane xSplit="1" ySplit="1" topLeftCell="E50" activePane="bottomRight" state="frozen"/>
      <selection pane="topRight" activeCell="B1" sqref="B1"/>
      <selection pane="bottomLeft" activeCell="A2" sqref="A2"/>
      <selection pane="bottomRight" activeCell="M6" sqref="J4:M6"/>
    </sheetView>
  </sheetViews>
  <sheetFormatPr defaultRowHeight="14.5" x14ac:dyDescent="0.35"/>
  <cols>
    <col min="1" max="1" width="4.1796875" bestFit="1" customWidth="1"/>
    <col min="2" max="2" width="10.54296875" style="1" bestFit="1" customWidth="1"/>
    <col min="3" max="3" width="11.1796875" bestFit="1" customWidth="1"/>
    <col min="4" max="4" width="11.1796875" customWidth="1"/>
    <col min="5" max="5" width="34" bestFit="1" customWidth="1"/>
    <col min="6" max="6" width="31.26953125" customWidth="1"/>
    <col min="7" max="7" width="21.81640625" customWidth="1"/>
    <col min="8" max="8" width="17.453125" style="1" bestFit="1" customWidth="1"/>
    <col min="9" max="9" width="17.453125" customWidth="1"/>
    <col min="10" max="10" width="12.7265625" bestFit="1" customWidth="1"/>
    <col min="11" max="11" width="15.7265625" bestFit="1" customWidth="1"/>
    <col min="12" max="12" width="6.54296875" bestFit="1" customWidth="1"/>
    <col min="13" max="13" width="10.26953125" bestFit="1" customWidth="1"/>
    <col min="14" max="14" width="10.7265625" bestFit="1" customWidth="1"/>
    <col min="16" max="16" width="12.453125" bestFit="1" customWidth="1"/>
    <col min="17" max="17" width="18.1796875" bestFit="1" customWidth="1"/>
    <col min="18" max="18" width="7" bestFit="1" customWidth="1"/>
    <col min="19" max="19" width="10.54296875" bestFit="1" customWidth="1"/>
    <col min="21" max="21" width="12.7265625" bestFit="1" customWidth="1"/>
    <col min="22" max="22" width="15.7265625" bestFit="1" customWidth="1"/>
    <col min="23" max="25" width="9.26953125" bestFit="1" customWidth="1"/>
    <col min="26" max="26" width="10.26953125" bestFit="1" customWidth="1"/>
    <col min="27" max="28" width="10.7265625" bestFit="1" customWidth="1"/>
    <col min="29" max="29" width="30.7265625" bestFit="1" customWidth="1"/>
    <col min="30" max="30" width="12.26953125" bestFit="1" customWidth="1"/>
    <col min="31" max="34" width="11.1796875" bestFit="1" customWidth="1"/>
    <col min="35" max="36" width="10.7265625" bestFit="1" customWidth="1"/>
    <col min="37" max="37" width="25.26953125" bestFit="1" customWidth="1"/>
    <col min="38" max="38" width="17.7265625" bestFit="1" customWidth="1"/>
    <col min="39" max="63" width="12.26953125" bestFit="1" customWidth="1"/>
    <col min="64" max="65" width="10.7265625" bestFit="1" customWidth="1"/>
  </cols>
  <sheetData>
    <row r="1" spans="1:38" ht="26.2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  <c r="U1" s="12" t="s">
        <v>3</v>
      </c>
      <c r="V1" t="s">
        <v>8</v>
      </c>
      <c r="AC1" s="12" t="s">
        <v>3</v>
      </c>
      <c r="AD1" t="s">
        <v>9</v>
      </c>
      <c r="AK1" s="12" t="s">
        <v>2</v>
      </c>
      <c r="AL1" t="s">
        <v>10</v>
      </c>
    </row>
    <row r="2" spans="1:38" ht="17.25" customHeight="1" x14ac:dyDescent="0.35">
      <c r="A2" s="7">
        <v>1</v>
      </c>
      <c r="B2" s="7" t="s">
        <v>11</v>
      </c>
      <c r="C2" s="7" t="s">
        <v>12</v>
      </c>
      <c r="D2" s="7" t="s">
        <v>9</v>
      </c>
      <c r="E2" s="7" t="s">
        <v>9</v>
      </c>
      <c r="F2" s="7" t="s">
        <v>13</v>
      </c>
      <c r="G2" s="24"/>
      <c r="H2" s="7" t="s">
        <v>14</v>
      </c>
      <c r="J2" s="12" t="s">
        <v>15</v>
      </c>
      <c r="K2" s="12" t="s">
        <v>16</v>
      </c>
      <c r="P2" s="12" t="s">
        <v>17</v>
      </c>
      <c r="Q2" t="s">
        <v>18</v>
      </c>
    </row>
    <row r="3" spans="1:38" ht="17.25" customHeight="1" x14ac:dyDescent="0.35">
      <c r="A3" s="7">
        <v>2</v>
      </c>
      <c r="B3" s="7" t="s">
        <v>19</v>
      </c>
      <c r="C3" s="7" t="s">
        <v>12</v>
      </c>
      <c r="D3" s="7" t="s">
        <v>9</v>
      </c>
      <c r="E3" s="7" t="s">
        <v>9</v>
      </c>
      <c r="F3" s="7" t="s">
        <v>13</v>
      </c>
      <c r="G3" s="24"/>
      <c r="H3" s="7" t="s">
        <v>14</v>
      </c>
      <c r="J3" s="12" t="s">
        <v>17</v>
      </c>
      <c r="K3" t="s">
        <v>8</v>
      </c>
      <c r="L3" t="s">
        <v>9</v>
      </c>
      <c r="M3" t="s">
        <v>20</v>
      </c>
      <c r="P3" s="9" t="s">
        <v>21</v>
      </c>
      <c r="Q3" s="15">
        <v>30</v>
      </c>
      <c r="U3" s="12" t="s">
        <v>15</v>
      </c>
      <c r="V3" s="12" t="s">
        <v>16</v>
      </c>
      <c r="AC3" s="12" t="s">
        <v>18</v>
      </c>
      <c r="AE3" s="12" t="s">
        <v>7</v>
      </c>
      <c r="AK3" s="12" t="s">
        <v>17</v>
      </c>
      <c r="AL3" t="s">
        <v>18</v>
      </c>
    </row>
    <row r="4" spans="1:38" ht="17.25" customHeight="1" x14ac:dyDescent="0.35">
      <c r="A4" s="7">
        <v>3</v>
      </c>
      <c r="B4" s="7" t="s">
        <v>22</v>
      </c>
      <c r="C4" s="7" t="s">
        <v>12</v>
      </c>
      <c r="D4" s="7" t="s">
        <v>9</v>
      </c>
      <c r="E4" s="7" t="s">
        <v>9</v>
      </c>
      <c r="F4" s="7" t="s">
        <v>13</v>
      </c>
      <c r="G4" s="24"/>
      <c r="H4" s="7" t="s">
        <v>14</v>
      </c>
      <c r="J4" s="4" t="s">
        <v>21</v>
      </c>
      <c r="K4">
        <v>23</v>
      </c>
      <c r="L4">
        <v>7</v>
      </c>
      <c r="M4">
        <v>30</v>
      </c>
      <c r="P4" s="4" t="s">
        <v>23</v>
      </c>
      <c r="Q4">
        <v>22</v>
      </c>
      <c r="U4" s="12" t="s">
        <v>17</v>
      </c>
      <c r="V4" s="3">
        <v>46196</v>
      </c>
      <c r="W4" s="3">
        <v>46197</v>
      </c>
      <c r="X4" s="3">
        <v>46198</v>
      </c>
      <c r="Y4" s="3">
        <v>46199</v>
      </c>
      <c r="Z4" t="s">
        <v>20</v>
      </c>
      <c r="AC4" s="12" t="s">
        <v>5</v>
      </c>
      <c r="AD4" s="12" t="s">
        <v>2</v>
      </c>
      <c r="AE4" t="s">
        <v>24</v>
      </c>
      <c r="AF4" t="s">
        <v>25</v>
      </c>
      <c r="AG4" t="s">
        <v>14</v>
      </c>
      <c r="AH4" t="s">
        <v>26</v>
      </c>
      <c r="AI4" t="s">
        <v>20</v>
      </c>
      <c r="AK4" s="4" t="s">
        <v>27</v>
      </c>
      <c r="AL4">
        <v>16</v>
      </c>
    </row>
    <row r="5" spans="1:38" ht="17.25" customHeight="1" x14ac:dyDescent="0.35">
      <c r="A5" s="7">
        <v>4</v>
      </c>
      <c r="B5" s="7" t="s">
        <v>28</v>
      </c>
      <c r="C5" s="7" t="s">
        <v>12</v>
      </c>
      <c r="D5" s="7" t="s">
        <v>9</v>
      </c>
      <c r="E5" s="7" t="s">
        <v>9</v>
      </c>
      <c r="F5" s="7" t="s">
        <v>13</v>
      </c>
      <c r="G5" s="24"/>
      <c r="H5" s="7" t="s">
        <v>14</v>
      </c>
      <c r="J5" s="4" t="s">
        <v>29</v>
      </c>
      <c r="K5">
        <v>4</v>
      </c>
      <c r="L5">
        <v>14</v>
      </c>
      <c r="M5">
        <v>18</v>
      </c>
      <c r="P5" s="9" t="s">
        <v>29</v>
      </c>
      <c r="Q5" s="15">
        <v>18</v>
      </c>
      <c r="U5" s="4" t="s">
        <v>30</v>
      </c>
      <c r="W5">
        <v>1</v>
      </c>
      <c r="Z5">
        <v>1</v>
      </c>
      <c r="AC5" t="s">
        <v>27</v>
      </c>
      <c r="AD5" t="s">
        <v>31</v>
      </c>
      <c r="AE5">
        <v>1</v>
      </c>
      <c r="AI5">
        <v>1</v>
      </c>
      <c r="AK5" s="4" t="s">
        <v>32</v>
      </c>
      <c r="AL5">
        <v>16</v>
      </c>
    </row>
    <row r="6" spans="1:38" ht="17.25" customHeight="1" x14ac:dyDescent="0.35">
      <c r="A6" s="7">
        <v>5</v>
      </c>
      <c r="B6" s="7" t="s">
        <v>33</v>
      </c>
      <c r="C6" s="7" t="s">
        <v>12</v>
      </c>
      <c r="D6" s="7" t="s">
        <v>9</v>
      </c>
      <c r="E6" s="7" t="s">
        <v>9</v>
      </c>
      <c r="F6" s="7" t="s">
        <v>13</v>
      </c>
      <c r="G6" s="24"/>
      <c r="H6" s="7" t="s">
        <v>14</v>
      </c>
      <c r="J6" s="4" t="s">
        <v>20</v>
      </c>
      <c r="K6">
        <v>27</v>
      </c>
      <c r="L6">
        <v>21</v>
      </c>
      <c r="M6">
        <v>48</v>
      </c>
      <c r="P6" s="4" t="s">
        <v>34</v>
      </c>
      <c r="Q6">
        <v>17</v>
      </c>
      <c r="U6" s="4" t="s">
        <v>31</v>
      </c>
      <c r="V6">
        <v>1</v>
      </c>
      <c r="Z6">
        <v>1</v>
      </c>
      <c r="AD6" t="s">
        <v>35</v>
      </c>
      <c r="AF6">
        <v>1</v>
      </c>
      <c r="AI6">
        <v>1</v>
      </c>
      <c r="AK6" s="4" t="s">
        <v>13</v>
      </c>
      <c r="AL6">
        <v>160</v>
      </c>
    </row>
    <row r="7" spans="1:38" ht="17.25" customHeight="1" x14ac:dyDescent="0.35">
      <c r="A7" s="7">
        <v>6</v>
      </c>
      <c r="B7" s="7" t="s">
        <v>36</v>
      </c>
      <c r="C7" s="7" t="s">
        <v>12</v>
      </c>
      <c r="D7" s="7" t="s">
        <v>9</v>
      </c>
      <c r="E7" s="7" t="s">
        <v>9</v>
      </c>
      <c r="F7" s="7" t="s">
        <v>13</v>
      </c>
      <c r="G7" s="24"/>
      <c r="H7" s="7" t="s">
        <v>14</v>
      </c>
      <c r="P7" s="4" t="s">
        <v>37</v>
      </c>
      <c r="Q7">
        <v>13</v>
      </c>
      <c r="U7" s="4" t="s">
        <v>38</v>
      </c>
      <c r="V7">
        <v>1</v>
      </c>
      <c r="Z7">
        <v>1</v>
      </c>
      <c r="AD7" t="s">
        <v>39</v>
      </c>
      <c r="AH7">
        <v>1</v>
      </c>
      <c r="AI7">
        <v>1</v>
      </c>
      <c r="AK7" s="4" t="s">
        <v>40</v>
      </c>
      <c r="AL7">
        <v>5</v>
      </c>
    </row>
    <row r="8" spans="1:38" ht="17.25" customHeight="1" x14ac:dyDescent="0.35">
      <c r="A8" s="7">
        <v>7</v>
      </c>
      <c r="B8" s="7" t="s">
        <v>41</v>
      </c>
      <c r="C8" s="7" t="s">
        <v>12</v>
      </c>
      <c r="D8" s="7" t="s">
        <v>9</v>
      </c>
      <c r="E8" s="7" t="s">
        <v>9</v>
      </c>
      <c r="F8" s="7" t="s">
        <v>13</v>
      </c>
      <c r="G8" s="24"/>
      <c r="H8" s="7" t="s">
        <v>14</v>
      </c>
      <c r="P8" s="4" t="s">
        <v>42</v>
      </c>
      <c r="Q8">
        <v>12</v>
      </c>
      <c r="U8" s="4" t="s">
        <v>23</v>
      </c>
      <c r="V8">
        <v>1</v>
      </c>
      <c r="W8">
        <v>1</v>
      </c>
      <c r="Z8">
        <v>2</v>
      </c>
      <c r="AC8" t="s">
        <v>43</v>
      </c>
      <c r="AE8">
        <v>1</v>
      </c>
      <c r="AF8">
        <v>1</v>
      </c>
      <c r="AH8">
        <v>1</v>
      </c>
      <c r="AI8">
        <v>3</v>
      </c>
      <c r="AK8" s="4" t="s">
        <v>20</v>
      </c>
      <c r="AL8">
        <v>197</v>
      </c>
    </row>
    <row r="9" spans="1:38" ht="17.25" customHeight="1" x14ac:dyDescent="0.35">
      <c r="A9" s="7">
        <v>8</v>
      </c>
      <c r="B9" s="7" t="s">
        <v>44</v>
      </c>
      <c r="C9" s="7" t="s">
        <v>12</v>
      </c>
      <c r="D9" s="7" t="s">
        <v>9</v>
      </c>
      <c r="E9" s="7" t="s">
        <v>9</v>
      </c>
      <c r="F9" s="7" t="s">
        <v>13</v>
      </c>
      <c r="G9" s="24"/>
      <c r="H9" s="7" t="s">
        <v>14</v>
      </c>
      <c r="J9" s="12" t="s">
        <v>15</v>
      </c>
      <c r="K9" s="12" t="s">
        <v>16</v>
      </c>
      <c r="P9" s="4" t="s">
        <v>45</v>
      </c>
      <c r="Q9">
        <v>12</v>
      </c>
      <c r="U9" s="4" t="s">
        <v>46</v>
      </c>
      <c r="V9">
        <v>1</v>
      </c>
      <c r="Z9">
        <v>1</v>
      </c>
      <c r="AC9" t="s">
        <v>32</v>
      </c>
      <c r="AD9" t="s">
        <v>35</v>
      </c>
      <c r="AF9">
        <v>2</v>
      </c>
      <c r="AI9">
        <v>2</v>
      </c>
    </row>
    <row r="10" spans="1:38" ht="17.25" customHeight="1" x14ac:dyDescent="0.35">
      <c r="A10" s="7">
        <v>9</v>
      </c>
      <c r="B10" s="7" t="s">
        <v>47</v>
      </c>
      <c r="C10" s="7" t="s">
        <v>12</v>
      </c>
      <c r="D10" s="7" t="s">
        <v>9</v>
      </c>
      <c r="E10" s="7" t="s">
        <v>9</v>
      </c>
      <c r="F10" s="7" t="s">
        <v>13</v>
      </c>
      <c r="G10" s="24"/>
      <c r="H10" s="7" t="s">
        <v>14</v>
      </c>
      <c r="J10" s="12" t="s">
        <v>17</v>
      </c>
      <c r="K10" t="s">
        <v>8</v>
      </c>
      <c r="L10" t="s">
        <v>9</v>
      </c>
      <c r="M10" t="s">
        <v>20</v>
      </c>
      <c r="P10" s="4" t="s">
        <v>46</v>
      </c>
      <c r="Q10">
        <v>12</v>
      </c>
      <c r="U10" s="4" t="s">
        <v>48</v>
      </c>
      <c r="V10">
        <v>1</v>
      </c>
      <c r="Z10">
        <v>1</v>
      </c>
      <c r="AD10" t="s">
        <v>49</v>
      </c>
      <c r="AF10">
        <v>2</v>
      </c>
      <c r="AI10">
        <v>2</v>
      </c>
    </row>
    <row r="11" spans="1:38" ht="17.25" customHeight="1" x14ac:dyDescent="0.35">
      <c r="A11" s="7">
        <v>10</v>
      </c>
      <c r="B11" s="7" t="s">
        <v>50</v>
      </c>
      <c r="C11" s="7" t="s">
        <v>12</v>
      </c>
      <c r="D11" s="7" t="s">
        <v>9</v>
      </c>
      <c r="E11" s="7" t="s">
        <v>9</v>
      </c>
      <c r="F11" s="7" t="s">
        <v>13</v>
      </c>
      <c r="G11" s="24"/>
      <c r="H11" s="7" t="s">
        <v>14</v>
      </c>
      <c r="J11" s="4" t="s">
        <v>30</v>
      </c>
      <c r="K11">
        <v>1</v>
      </c>
      <c r="M11">
        <v>1</v>
      </c>
      <c r="P11" s="4" t="s">
        <v>12</v>
      </c>
      <c r="Q11">
        <v>10</v>
      </c>
      <c r="U11" s="4" t="s">
        <v>45</v>
      </c>
      <c r="V11">
        <v>1</v>
      </c>
      <c r="Z11">
        <v>1</v>
      </c>
      <c r="AD11" t="s">
        <v>45</v>
      </c>
      <c r="AF11">
        <v>1</v>
      </c>
      <c r="AI11">
        <v>1</v>
      </c>
    </row>
    <row r="12" spans="1:38" ht="17.25" customHeight="1" x14ac:dyDescent="0.35">
      <c r="A12" s="7">
        <v>28</v>
      </c>
      <c r="B12" s="7" t="s">
        <v>51</v>
      </c>
      <c r="C12" s="7" t="s">
        <v>29</v>
      </c>
      <c r="D12" s="7" t="s">
        <v>9</v>
      </c>
      <c r="E12" s="7" t="s">
        <v>52</v>
      </c>
      <c r="F12" s="7" t="s">
        <v>27</v>
      </c>
      <c r="G12" s="24"/>
      <c r="H12" s="7" t="s">
        <v>14</v>
      </c>
      <c r="J12" s="4" t="s">
        <v>31</v>
      </c>
      <c r="K12">
        <v>1</v>
      </c>
      <c r="L12">
        <v>2</v>
      </c>
      <c r="M12">
        <v>3</v>
      </c>
      <c r="P12" s="4" t="s">
        <v>53</v>
      </c>
      <c r="Q12">
        <v>9</v>
      </c>
      <c r="U12" s="4" t="s">
        <v>53</v>
      </c>
      <c r="V12">
        <v>1</v>
      </c>
      <c r="W12">
        <v>1</v>
      </c>
      <c r="X12">
        <v>1</v>
      </c>
      <c r="Y12">
        <v>1</v>
      </c>
      <c r="Z12">
        <v>4</v>
      </c>
      <c r="AD12" t="s">
        <v>54</v>
      </c>
      <c r="AF12">
        <v>1</v>
      </c>
      <c r="AI12">
        <v>1</v>
      </c>
    </row>
    <row r="13" spans="1:38" ht="17.25" customHeight="1" x14ac:dyDescent="0.35">
      <c r="A13" s="7">
        <v>29</v>
      </c>
      <c r="B13" s="7" t="s">
        <v>55</v>
      </c>
      <c r="C13" s="7" t="s">
        <v>29</v>
      </c>
      <c r="D13" s="7" t="s">
        <v>8</v>
      </c>
      <c r="E13" s="7" t="s">
        <v>56</v>
      </c>
      <c r="F13" s="7" t="s">
        <v>27</v>
      </c>
      <c r="G13" s="24">
        <v>46197</v>
      </c>
      <c r="H13" s="7" t="s">
        <v>14</v>
      </c>
      <c r="J13" s="4" t="s">
        <v>12</v>
      </c>
      <c r="L13">
        <v>10</v>
      </c>
      <c r="M13">
        <v>10</v>
      </c>
      <c r="P13" s="4" t="s">
        <v>57</v>
      </c>
      <c r="Q13">
        <v>7</v>
      </c>
      <c r="U13" s="4" t="s">
        <v>58</v>
      </c>
      <c r="V13">
        <v>2</v>
      </c>
      <c r="Z13">
        <v>2</v>
      </c>
      <c r="AD13" t="s">
        <v>53</v>
      </c>
      <c r="AF13">
        <v>1</v>
      </c>
      <c r="AI13">
        <v>1</v>
      </c>
    </row>
    <row r="14" spans="1:38" ht="17.25" customHeight="1" x14ac:dyDescent="0.35">
      <c r="A14" s="7">
        <v>30</v>
      </c>
      <c r="B14" s="7" t="s">
        <v>59</v>
      </c>
      <c r="C14" s="7" t="s">
        <v>21</v>
      </c>
      <c r="D14" s="7" t="s">
        <v>8</v>
      </c>
      <c r="E14" s="7" t="s">
        <v>60</v>
      </c>
      <c r="F14" s="7" t="s">
        <v>27</v>
      </c>
      <c r="G14" s="24"/>
      <c r="H14" s="7" t="s">
        <v>14</v>
      </c>
      <c r="J14" s="4" t="s">
        <v>61</v>
      </c>
      <c r="L14">
        <v>3</v>
      </c>
      <c r="M14">
        <v>3</v>
      </c>
      <c r="P14" s="4" t="s">
        <v>35</v>
      </c>
      <c r="Q14">
        <v>3</v>
      </c>
      <c r="U14" s="4" t="s">
        <v>20</v>
      </c>
      <c r="V14">
        <v>9</v>
      </c>
      <c r="W14">
        <v>3</v>
      </c>
      <c r="X14">
        <v>1</v>
      </c>
      <c r="Y14">
        <v>1</v>
      </c>
      <c r="Z14">
        <v>14</v>
      </c>
      <c r="AD14" t="s">
        <v>31</v>
      </c>
      <c r="AF14">
        <v>1</v>
      </c>
      <c r="AI14">
        <v>1</v>
      </c>
    </row>
    <row r="15" spans="1:38" ht="17.25" customHeight="1" x14ac:dyDescent="0.35">
      <c r="A15" s="7">
        <v>31</v>
      </c>
      <c r="B15" s="7" t="s">
        <v>62</v>
      </c>
      <c r="C15" s="7" t="s">
        <v>29</v>
      </c>
      <c r="D15" s="7" t="s">
        <v>9</v>
      </c>
      <c r="E15" s="7" t="s">
        <v>52</v>
      </c>
      <c r="F15" s="7" t="s">
        <v>27</v>
      </c>
      <c r="G15" s="24"/>
      <c r="H15" s="7" t="s">
        <v>14</v>
      </c>
      <c r="J15" s="4" t="s">
        <v>63</v>
      </c>
      <c r="L15">
        <v>1</v>
      </c>
      <c r="M15">
        <v>1</v>
      </c>
      <c r="P15" s="4" t="s">
        <v>61</v>
      </c>
      <c r="Q15">
        <v>3</v>
      </c>
      <c r="AD15" t="s">
        <v>37</v>
      </c>
      <c r="AF15">
        <v>1</v>
      </c>
      <c r="AI15">
        <v>1</v>
      </c>
    </row>
    <row r="16" spans="1:38" ht="17.25" customHeight="1" x14ac:dyDescent="0.35">
      <c r="A16" s="7">
        <v>32</v>
      </c>
      <c r="B16" s="7" t="s">
        <v>64</v>
      </c>
      <c r="C16" s="7" t="s">
        <v>31</v>
      </c>
      <c r="D16" s="7" t="s">
        <v>9</v>
      </c>
      <c r="E16" s="7" t="s">
        <v>52</v>
      </c>
      <c r="F16" s="7" t="s">
        <v>27</v>
      </c>
      <c r="G16" s="24"/>
      <c r="H16" s="10" t="s">
        <v>24</v>
      </c>
      <c r="J16" s="4" t="s">
        <v>65</v>
      </c>
      <c r="K16">
        <v>1</v>
      </c>
      <c r="M16">
        <v>1</v>
      </c>
      <c r="P16" s="4" t="s">
        <v>49</v>
      </c>
      <c r="Q16">
        <v>3</v>
      </c>
      <c r="AD16" t="s">
        <v>23</v>
      </c>
      <c r="AF16">
        <v>1</v>
      </c>
      <c r="AI16">
        <v>1</v>
      </c>
    </row>
    <row r="17" spans="1:35" ht="17.25" customHeight="1" x14ac:dyDescent="0.35">
      <c r="A17" s="7">
        <v>33</v>
      </c>
      <c r="B17" s="7" t="s">
        <v>66</v>
      </c>
      <c r="C17" s="7" t="s">
        <v>21</v>
      </c>
      <c r="D17" s="7" t="s">
        <v>9</v>
      </c>
      <c r="E17" s="7" t="s">
        <v>9</v>
      </c>
      <c r="F17" s="7" t="s">
        <v>27</v>
      </c>
      <c r="G17" s="24"/>
      <c r="H17" s="7" t="s">
        <v>14</v>
      </c>
      <c r="J17" s="4" t="s">
        <v>42</v>
      </c>
      <c r="L17">
        <v>12</v>
      </c>
      <c r="M17">
        <v>12</v>
      </c>
      <c r="P17" s="4" t="s">
        <v>31</v>
      </c>
      <c r="Q17">
        <v>3</v>
      </c>
      <c r="AC17" t="s">
        <v>67</v>
      </c>
      <c r="AF17">
        <v>10</v>
      </c>
      <c r="AI17">
        <v>10</v>
      </c>
    </row>
    <row r="18" spans="1:35" ht="17.25" customHeight="1" x14ac:dyDescent="0.35">
      <c r="A18" s="7">
        <v>34</v>
      </c>
      <c r="B18" s="7" t="s">
        <v>68</v>
      </c>
      <c r="C18" s="7" t="s">
        <v>21</v>
      </c>
      <c r="D18" s="7" t="s">
        <v>9</v>
      </c>
      <c r="E18" s="7" t="s">
        <v>9</v>
      </c>
      <c r="F18" s="7" t="s">
        <v>27</v>
      </c>
      <c r="G18" s="24"/>
      <c r="H18" s="7" t="s">
        <v>14</v>
      </c>
      <c r="J18" s="4" t="s">
        <v>69</v>
      </c>
      <c r="K18">
        <v>2</v>
      </c>
      <c r="M18">
        <v>2</v>
      </c>
      <c r="P18" s="4" t="s">
        <v>54</v>
      </c>
      <c r="Q18">
        <v>2</v>
      </c>
      <c r="AC18" t="s">
        <v>13</v>
      </c>
      <c r="AD18" t="s">
        <v>34</v>
      </c>
      <c r="AG18">
        <v>17</v>
      </c>
      <c r="AI18">
        <v>17</v>
      </c>
    </row>
    <row r="19" spans="1:35" ht="17.25" customHeight="1" x14ac:dyDescent="0.35">
      <c r="A19" s="7">
        <v>35</v>
      </c>
      <c r="B19" s="7" t="s">
        <v>70</v>
      </c>
      <c r="C19" s="7" t="s">
        <v>39</v>
      </c>
      <c r="D19" s="7" t="s">
        <v>9</v>
      </c>
      <c r="E19" s="7" t="s">
        <v>9</v>
      </c>
      <c r="F19" s="7" t="s">
        <v>27</v>
      </c>
      <c r="G19" s="24"/>
      <c r="H19" s="10"/>
      <c r="J19" s="4" t="s">
        <v>71</v>
      </c>
      <c r="K19">
        <v>1</v>
      </c>
      <c r="M19">
        <v>1</v>
      </c>
      <c r="P19" s="4" t="s">
        <v>69</v>
      </c>
      <c r="Q19">
        <v>2</v>
      </c>
      <c r="AD19" t="s">
        <v>42</v>
      </c>
      <c r="AE19">
        <v>1</v>
      </c>
      <c r="AH19">
        <v>11</v>
      </c>
      <c r="AI19">
        <v>12</v>
      </c>
    </row>
    <row r="20" spans="1:35" ht="17.25" customHeight="1" x14ac:dyDescent="0.35">
      <c r="A20" s="7">
        <v>36</v>
      </c>
      <c r="B20" s="7" t="s">
        <v>72</v>
      </c>
      <c r="C20" s="7" t="s">
        <v>21</v>
      </c>
      <c r="D20" s="7" t="s">
        <v>8</v>
      </c>
      <c r="E20" s="7" t="s">
        <v>60</v>
      </c>
      <c r="F20" s="7" t="s">
        <v>27</v>
      </c>
      <c r="G20" s="24">
        <v>46197</v>
      </c>
      <c r="H20" s="7" t="s">
        <v>14</v>
      </c>
      <c r="J20" s="4" t="s">
        <v>39</v>
      </c>
      <c r="L20">
        <v>2</v>
      </c>
      <c r="M20">
        <v>2</v>
      </c>
      <c r="P20" s="4" t="s">
        <v>73</v>
      </c>
      <c r="Q20">
        <v>2</v>
      </c>
      <c r="AD20" t="s">
        <v>12</v>
      </c>
      <c r="AG20">
        <v>10</v>
      </c>
      <c r="AI20">
        <v>10</v>
      </c>
    </row>
    <row r="21" spans="1:35" ht="17.25" customHeight="1" x14ac:dyDescent="0.35">
      <c r="A21" s="7">
        <v>37</v>
      </c>
      <c r="B21" s="7" t="s">
        <v>74</v>
      </c>
      <c r="C21" s="7" t="s">
        <v>21</v>
      </c>
      <c r="D21" s="7" t="s">
        <v>8</v>
      </c>
      <c r="E21" s="7" t="s">
        <v>56</v>
      </c>
      <c r="F21" s="7" t="s">
        <v>27</v>
      </c>
      <c r="G21" s="24"/>
      <c r="H21" s="7" t="s">
        <v>14</v>
      </c>
      <c r="J21" s="4" t="s">
        <v>75</v>
      </c>
      <c r="L21">
        <v>1</v>
      </c>
      <c r="M21">
        <v>1</v>
      </c>
      <c r="P21" s="4" t="s">
        <v>39</v>
      </c>
      <c r="Q21">
        <v>2</v>
      </c>
      <c r="AD21" t="s">
        <v>46</v>
      </c>
      <c r="AF21">
        <v>1</v>
      </c>
      <c r="AG21">
        <v>3</v>
      </c>
      <c r="AH21">
        <v>2</v>
      </c>
      <c r="AI21">
        <v>6</v>
      </c>
    </row>
    <row r="22" spans="1:35" ht="17.25" customHeight="1" x14ac:dyDescent="0.35">
      <c r="A22" s="7">
        <v>38</v>
      </c>
      <c r="B22" s="7" t="s">
        <v>76</v>
      </c>
      <c r="C22" s="7" t="s">
        <v>29</v>
      </c>
      <c r="D22" s="7" t="s">
        <v>9</v>
      </c>
      <c r="E22" s="7" t="s">
        <v>52</v>
      </c>
      <c r="F22" s="7" t="s">
        <v>27</v>
      </c>
      <c r="G22" s="24"/>
      <c r="H22" s="7" t="s">
        <v>14</v>
      </c>
      <c r="J22" s="4" t="s">
        <v>35</v>
      </c>
      <c r="L22">
        <v>3</v>
      </c>
      <c r="M22">
        <v>3</v>
      </c>
      <c r="P22" s="4" t="s">
        <v>58</v>
      </c>
      <c r="Q22">
        <v>2</v>
      </c>
      <c r="AD22" t="s">
        <v>37</v>
      </c>
      <c r="AF22">
        <v>1</v>
      </c>
      <c r="AH22">
        <v>5</v>
      </c>
      <c r="AI22">
        <v>6</v>
      </c>
    </row>
    <row r="23" spans="1:35" ht="17.25" customHeight="1" x14ac:dyDescent="0.35">
      <c r="A23" s="7">
        <v>39</v>
      </c>
      <c r="B23" s="7" t="s">
        <v>77</v>
      </c>
      <c r="C23" s="7" t="s">
        <v>21</v>
      </c>
      <c r="D23" s="7" t="s">
        <v>9</v>
      </c>
      <c r="E23" s="7" t="s">
        <v>52</v>
      </c>
      <c r="F23" s="7" t="s">
        <v>27</v>
      </c>
      <c r="G23" s="24"/>
      <c r="H23" s="7" t="s">
        <v>14</v>
      </c>
      <c r="J23" s="4" t="s">
        <v>38</v>
      </c>
      <c r="K23">
        <v>1</v>
      </c>
      <c r="L23">
        <v>1</v>
      </c>
      <c r="M23">
        <v>2</v>
      </c>
      <c r="P23" s="4" t="s">
        <v>38</v>
      </c>
      <c r="Q23">
        <v>2</v>
      </c>
      <c r="AD23" t="s">
        <v>45</v>
      </c>
      <c r="AF23">
        <v>3</v>
      </c>
      <c r="AH23">
        <v>1</v>
      </c>
      <c r="AI23">
        <v>4</v>
      </c>
    </row>
    <row r="24" spans="1:35" ht="17.25" customHeight="1" x14ac:dyDescent="0.35">
      <c r="A24" s="7">
        <v>40</v>
      </c>
      <c r="B24" s="7" t="s">
        <v>78</v>
      </c>
      <c r="C24" s="7" t="s">
        <v>21</v>
      </c>
      <c r="D24" s="7" t="s">
        <v>9</v>
      </c>
      <c r="E24" s="7" t="s">
        <v>52</v>
      </c>
      <c r="F24" s="7" t="s">
        <v>27</v>
      </c>
      <c r="G24" s="24"/>
      <c r="H24" s="7" t="s">
        <v>14</v>
      </c>
      <c r="J24" s="4" t="s">
        <v>37</v>
      </c>
      <c r="K24">
        <v>6</v>
      </c>
      <c r="L24">
        <v>7</v>
      </c>
      <c r="M24">
        <v>13</v>
      </c>
      <c r="P24" s="4" t="s">
        <v>79</v>
      </c>
      <c r="Q24">
        <v>1</v>
      </c>
      <c r="AD24" t="s">
        <v>23</v>
      </c>
      <c r="AF24">
        <v>4</v>
      </c>
      <c r="AI24">
        <v>4</v>
      </c>
    </row>
    <row r="25" spans="1:35" ht="17.25" customHeight="1" x14ac:dyDescent="0.35">
      <c r="A25" s="7">
        <v>41</v>
      </c>
      <c r="B25" s="7" t="s">
        <v>51</v>
      </c>
      <c r="C25" s="7" t="s">
        <v>80</v>
      </c>
      <c r="D25" s="7" t="s">
        <v>8</v>
      </c>
      <c r="E25" s="7" t="s">
        <v>60</v>
      </c>
      <c r="F25" s="7" t="s">
        <v>27</v>
      </c>
      <c r="G25" s="24"/>
      <c r="H25" s="7" t="s">
        <v>14</v>
      </c>
      <c r="J25" s="4" t="s">
        <v>49</v>
      </c>
      <c r="L25">
        <v>3</v>
      </c>
      <c r="M25">
        <v>3</v>
      </c>
      <c r="P25" s="4" t="s">
        <v>65</v>
      </c>
      <c r="Q25">
        <v>1</v>
      </c>
      <c r="AD25" t="s">
        <v>61</v>
      </c>
      <c r="AG25">
        <v>2</v>
      </c>
      <c r="AH25">
        <v>1</v>
      </c>
      <c r="AI25">
        <v>3</v>
      </c>
    </row>
    <row r="26" spans="1:35" ht="17.25" customHeight="1" x14ac:dyDescent="0.35">
      <c r="A26" s="7">
        <v>42</v>
      </c>
      <c r="B26" s="7" t="s">
        <v>51</v>
      </c>
      <c r="C26" s="7" t="s">
        <v>35</v>
      </c>
      <c r="D26" s="7" t="s">
        <v>9</v>
      </c>
      <c r="E26" s="7" t="s">
        <v>52</v>
      </c>
      <c r="F26" s="7" t="s">
        <v>27</v>
      </c>
      <c r="G26" s="24"/>
      <c r="H26" s="10" t="s">
        <v>25</v>
      </c>
      <c r="J26" s="4" t="s">
        <v>23</v>
      </c>
      <c r="K26">
        <v>13</v>
      </c>
      <c r="L26">
        <v>9</v>
      </c>
      <c r="M26">
        <v>22</v>
      </c>
      <c r="P26" s="4" t="s">
        <v>30</v>
      </c>
      <c r="Q26">
        <v>1</v>
      </c>
      <c r="AD26" t="s">
        <v>39</v>
      </c>
      <c r="AH26">
        <v>1</v>
      </c>
      <c r="AI26">
        <v>1</v>
      </c>
    </row>
    <row r="27" spans="1:35" ht="17.25" customHeight="1" x14ac:dyDescent="0.35">
      <c r="A27" s="7">
        <v>43</v>
      </c>
      <c r="B27" s="7" t="s">
        <v>51</v>
      </c>
      <c r="C27" s="7" t="s">
        <v>21</v>
      </c>
      <c r="D27" s="7" t="s">
        <v>8</v>
      </c>
      <c r="E27" s="7" t="s">
        <v>81</v>
      </c>
      <c r="F27" s="7" t="s">
        <v>27</v>
      </c>
      <c r="G27" s="24"/>
      <c r="H27" s="7" t="s">
        <v>14</v>
      </c>
      <c r="J27" s="4" t="s">
        <v>46</v>
      </c>
      <c r="K27">
        <v>6</v>
      </c>
      <c r="L27">
        <v>6</v>
      </c>
      <c r="M27">
        <v>12</v>
      </c>
      <c r="P27" s="4" t="s">
        <v>80</v>
      </c>
      <c r="Q27">
        <v>1</v>
      </c>
      <c r="AD27" t="s">
        <v>38</v>
      </c>
      <c r="AF27">
        <v>1</v>
      </c>
      <c r="AI27">
        <v>1</v>
      </c>
    </row>
    <row r="28" spans="1:35" ht="17.25" customHeight="1" x14ac:dyDescent="0.35">
      <c r="A28" s="7">
        <v>44</v>
      </c>
      <c r="B28" s="7" t="s">
        <v>82</v>
      </c>
      <c r="C28" s="16" t="s">
        <v>54</v>
      </c>
      <c r="D28" s="7" t="s">
        <v>8</v>
      </c>
      <c r="E28" s="7" t="s">
        <v>83</v>
      </c>
      <c r="F28" s="7" t="s">
        <v>32</v>
      </c>
      <c r="G28" s="24"/>
      <c r="H28" s="10" t="s">
        <v>25</v>
      </c>
      <c r="J28" s="4" t="s">
        <v>79</v>
      </c>
      <c r="L28">
        <v>1</v>
      </c>
      <c r="M28">
        <v>1</v>
      </c>
      <c r="P28" s="4" t="s">
        <v>63</v>
      </c>
      <c r="Q28">
        <v>1</v>
      </c>
      <c r="AD28" t="s">
        <v>79</v>
      </c>
      <c r="AG28">
        <v>1</v>
      </c>
      <c r="AI28">
        <v>1</v>
      </c>
    </row>
    <row r="29" spans="1:35" ht="17.25" customHeight="1" x14ac:dyDescent="0.35">
      <c r="A29" s="7">
        <v>45</v>
      </c>
      <c r="B29" s="7" t="s">
        <v>84</v>
      </c>
      <c r="C29" s="7"/>
      <c r="D29" s="7" t="s">
        <v>8</v>
      </c>
      <c r="E29" s="7" t="s">
        <v>83</v>
      </c>
      <c r="F29" s="7" t="s">
        <v>32</v>
      </c>
      <c r="G29" s="24"/>
      <c r="H29" s="10" t="s">
        <v>25</v>
      </c>
      <c r="J29" s="4" t="s">
        <v>85</v>
      </c>
      <c r="K29">
        <v>1</v>
      </c>
      <c r="M29">
        <v>1</v>
      </c>
      <c r="P29" s="4" t="s">
        <v>71</v>
      </c>
      <c r="Q29">
        <v>1</v>
      </c>
      <c r="AD29" t="s">
        <v>57</v>
      </c>
      <c r="AG29">
        <v>1</v>
      </c>
      <c r="AI29">
        <v>1</v>
      </c>
    </row>
    <row r="30" spans="1:35" ht="17.25" customHeight="1" x14ac:dyDescent="0.35">
      <c r="A30" s="7">
        <v>46</v>
      </c>
      <c r="B30" s="7" t="s">
        <v>86</v>
      </c>
      <c r="C30" s="7" t="s">
        <v>31</v>
      </c>
      <c r="D30" s="7" t="s">
        <v>9</v>
      </c>
      <c r="E30" s="7" t="s">
        <v>87</v>
      </c>
      <c r="F30" s="7" t="s">
        <v>32</v>
      </c>
      <c r="G30" s="24"/>
      <c r="H30" s="10" t="s">
        <v>25</v>
      </c>
      <c r="J30" s="4" t="s">
        <v>48</v>
      </c>
      <c r="K30">
        <v>1</v>
      </c>
      <c r="M30">
        <v>1</v>
      </c>
      <c r="P30" s="4" t="s">
        <v>48</v>
      </c>
      <c r="Q30">
        <v>1</v>
      </c>
      <c r="AD30" t="s">
        <v>73</v>
      </c>
      <c r="AF30">
        <v>1</v>
      </c>
      <c r="AI30">
        <v>1</v>
      </c>
    </row>
    <row r="31" spans="1:35" ht="17.25" customHeight="1" x14ac:dyDescent="0.35">
      <c r="A31" s="7">
        <v>47</v>
      </c>
      <c r="B31" s="7" t="s">
        <v>88</v>
      </c>
      <c r="C31" s="7" t="s">
        <v>37</v>
      </c>
      <c r="D31" s="7" t="s">
        <v>9</v>
      </c>
      <c r="E31" s="7" t="s">
        <v>52</v>
      </c>
      <c r="F31" s="7" t="s">
        <v>32</v>
      </c>
      <c r="G31" s="24"/>
      <c r="H31" s="10" t="s">
        <v>25</v>
      </c>
      <c r="J31" s="4" t="s">
        <v>57</v>
      </c>
      <c r="K31">
        <v>6</v>
      </c>
      <c r="L31">
        <v>1</v>
      </c>
      <c r="M31">
        <v>7</v>
      </c>
      <c r="P31" s="4" t="s">
        <v>85</v>
      </c>
      <c r="Q31">
        <v>1</v>
      </c>
      <c r="AD31" t="s">
        <v>63</v>
      </c>
      <c r="AG31">
        <v>1</v>
      </c>
      <c r="AI31">
        <v>1</v>
      </c>
    </row>
    <row r="32" spans="1:35" ht="17.25" customHeight="1" x14ac:dyDescent="0.35">
      <c r="A32" s="7">
        <v>48</v>
      </c>
      <c r="B32" s="7" t="s">
        <v>89</v>
      </c>
      <c r="C32" s="19" t="s">
        <v>69</v>
      </c>
      <c r="D32" s="7" t="s">
        <v>8</v>
      </c>
      <c r="E32" s="7" t="s">
        <v>83</v>
      </c>
      <c r="F32" s="7" t="s">
        <v>32</v>
      </c>
      <c r="G32" s="24"/>
      <c r="H32" s="10" t="s">
        <v>24</v>
      </c>
      <c r="J32" s="4" t="s">
        <v>90</v>
      </c>
      <c r="K32">
        <v>1</v>
      </c>
      <c r="M32">
        <v>1</v>
      </c>
      <c r="P32" s="4" t="s">
        <v>75</v>
      </c>
      <c r="Q32">
        <v>1</v>
      </c>
      <c r="AD32" t="s">
        <v>75</v>
      </c>
      <c r="AF32">
        <v>1</v>
      </c>
      <c r="AI32">
        <v>1</v>
      </c>
    </row>
    <row r="33" spans="1:35" ht="17.25" customHeight="1" x14ac:dyDescent="0.35">
      <c r="A33" s="7">
        <v>49</v>
      </c>
      <c r="B33" s="7" t="s">
        <v>91</v>
      </c>
      <c r="C33" s="7" t="s">
        <v>45</v>
      </c>
      <c r="D33" s="7" t="s">
        <v>9</v>
      </c>
      <c r="E33" s="7" t="s">
        <v>52</v>
      </c>
      <c r="F33" s="7" t="s">
        <v>32</v>
      </c>
      <c r="G33" s="24"/>
      <c r="H33" s="10" t="s">
        <v>25</v>
      </c>
      <c r="J33" s="4" t="s">
        <v>45</v>
      </c>
      <c r="K33">
        <v>7</v>
      </c>
      <c r="L33">
        <v>5</v>
      </c>
      <c r="M33">
        <v>12</v>
      </c>
      <c r="P33" s="4" t="s">
        <v>90</v>
      </c>
      <c r="Q33">
        <v>1</v>
      </c>
      <c r="AD33" t="s">
        <v>92</v>
      </c>
      <c r="AH33">
        <v>1</v>
      </c>
      <c r="AI33">
        <v>1</v>
      </c>
    </row>
    <row r="34" spans="1:35" ht="17.25" customHeight="1" x14ac:dyDescent="0.35">
      <c r="A34" s="7">
        <v>50</v>
      </c>
      <c r="B34" s="7" t="s">
        <v>93</v>
      </c>
      <c r="C34" s="7" t="s">
        <v>53</v>
      </c>
      <c r="D34" s="7" t="s">
        <v>9</v>
      </c>
      <c r="E34" s="7" t="s">
        <v>52</v>
      </c>
      <c r="F34" s="7" t="s">
        <v>32</v>
      </c>
      <c r="G34" s="24"/>
      <c r="H34" s="10" t="s">
        <v>25</v>
      </c>
      <c r="J34" s="4" t="s">
        <v>73</v>
      </c>
      <c r="K34">
        <v>1</v>
      </c>
      <c r="L34">
        <v>1</v>
      </c>
      <c r="M34">
        <v>2</v>
      </c>
      <c r="P34" s="4" t="s">
        <v>92</v>
      </c>
      <c r="Q34">
        <v>1</v>
      </c>
      <c r="AD34" t="s">
        <v>49</v>
      </c>
      <c r="AF34">
        <v>1</v>
      </c>
      <c r="AI34">
        <v>1</v>
      </c>
    </row>
    <row r="35" spans="1:35" ht="17.25" customHeight="1" x14ac:dyDescent="0.35">
      <c r="A35" s="7">
        <v>51</v>
      </c>
      <c r="B35" s="7" t="s">
        <v>94</v>
      </c>
      <c r="C35" s="7" t="s">
        <v>23</v>
      </c>
      <c r="D35" s="7" t="s">
        <v>9</v>
      </c>
      <c r="E35" s="7" t="s">
        <v>52</v>
      </c>
      <c r="F35" s="7" t="s">
        <v>32</v>
      </c>
      <c r="G35" s="24"/>
      <c r="H35" s="10" t="s">
        <v>25</v>
      </c>
      <c r="J35" s="4" t="s">
        <v>53</v>
      </c>
      <c r="K35">
        <v>8</v>
      </c>
      <c r="L35">
        <v>1</v>
      </c>
      <c r="M35">
        <v>9</v>
      </c>
      <c r="P35" s="4" t="s">
        <v>26</v>
      </c>
      <c r="AC35" t="s">
        <v>95</v>
      </c>
      <c r="AE35">
        <v>1</v>
      </c>
      <c r="AF35">
        <v>13</v>
      </c>
      <c r="AG35">
        <v>35</v>
      </c>
      <c r="AH35">
        <v>22</v>
      </c>
      <c r="AI35">
        <v>71</v>
      </c>
    </row>
    <row r="36" spans="1:35" ht="17.25" customHeight="1" x14ac:dyDescent="0.35">
      <c r="A36" s="7">
        <v>52</v>
      </c>
      <c r="B36" s="7" t="s">
        <v>96</v>
      </c>
      <c r="C36" s="16" t="s">
        <v>37</v>
      </c>
      <c r="D36" s="7" t="s">
        <v>8</v>
      </c>
      <c r="E36" s="7" t="s">
        <v>83</v>
      </c>
      <c r="F36" s="7" t="s">
        <v>32</v>
      </c>
      <c r="G36" s="24"/>
      <c r="H36" s="10" t="s">
        <v>25</v>
      </c>
      <c r="J36" s="4" t="s">
        <v>54</v>
      </c>
      <c r="K36">
        <v>1</v>
      </c>
      <c r="L36">
        <v>1</v>
      </c>
      <c r="M36">
        <v>2</v>
      </c>
      <c r="P36" s="4" t="s">
        <v>20</v>
      </c>
      <c r="Q36">
        <v>197</v>
      </c>
      <c r="AC36" t="s">
        <v>40</v>
      </c>
      <c r="AD36" t="s">
        <v>23</v>
      </c>
      <c r="AH36">
        <v>4</v>
      </c>
      <c r="AI36">
        <v>4</v>
      </c>
    </row>
    <row r="37" spans="1:35" ht="17.25" customHeight="1" x14ac:dyDescent="0.35">
      <c r="A37" s="7">
        <v>53</v>
      </c>
      <c r="B37" s="7" t="s">
        <v>97</v>
      </c>
      <c r="C37" s="7" t="s">
        <v>49</v>
      </c>
      <c r="D37" s="7" t="s">
        <v>9</v>
      </c>
      <c r="E37" s="7" t="s">
        <v>98</v>
      </c>
      <c r="F37" s="7" t="s">
        <v>32</v>
      </c>
      <c r="G37" s="24"/>
      <c r="H37" s="10" t="s">
        <v>25</v>
      </c>
      <c r="J37" s="4" t="s">
        <v>58</v>
      </c>
      <c r="K37">
        <v>2</v>
      </c>
      <c r="M37">
        <v>2</v>
      </c>
      <c r="AC37" t="s">
        <v>99</v>
      </c>
      <c r="AH37">
        <v>4</v>
      </c>
      <c r="AI37">
        <v>4</v>
      </c>
    </row>
    <row r="38" spans="1:35" ht="17.25" customHeight="1" x14ac:dyDescent="0.35">
      <c r="A38" s="7">
        <v>54</v>
      </c>
      <c r="B38" s="7" t="s">
        <v>100</v>
      </c>
      <c r="C38" s="16" t="s">
        <v>49</v>
      </c>
      <c r="D38" s="7" t="s">
        <v>9</v>
      </c>
      <c r="E38" s="7" t="s">
        <v>101</v>
      </c>
      <c r="F38" s="7" t="s">
        <v>32</v>
      </c>
      <c r="G38" s="24"/>
      <c r="H38" s="10" t="s">
        <v>25</v>
      </c>
      <c r="J38" s="4" t="s">
        <v>34</v>
      </c>
      <c r="L38">
        <v>17</v>
      </c>
      <c r="M38">
        <v>17</v>
      </c>
      <c r="AC38" t="s">
        <v>20</v>
      </c>
      <c r="AE38">
        <v>2</v>
      </c>
      <c r="AF38">
        <v>24</v>
      </c>
      <c r="AG38">
        <v>35</v>
      </c>
      <c r="AH38">
        <v>27</v>
      </c>
      <c r="AI38">
        <v>88</v>
      </c>
    </row>
    <row r="39" spans="1:35" ht="17.25" customHeight="1" x14ac:dyDescent="0.35">
      <c r="A39" s="7">
        <v>55</v>
      </c>
      <c r="B39" s="7" t="s">
        <v>102</v>
      </c>
      <c r="C39" s="7"/>
      <c r="D39" s="7" t="s">
        <v>9</v>
      </c>
      <c r="E39" s="7" t="s">
        <v>52</v>
      </c>
      <c r="F39" s="7" t="s">
        <v>32</v>
      </c>
      <c r="G39" s="24"/>
      <c r="H39" s="10" t="s">
        <v>25</v>
      </c>
      <c r="J39" s="4" t="s">
        <v>80</v>
      </c>
      <c r="K39">
        <v>1</v>
      </c>
      <c r="M39">
        <v>1</v>
      </c>
    </row>
    <row r="40" spans="1:35" ht="17.25" customHeight="1" x14ac:dyDescent="0.35">
      <c r="A40" s="7">
        <v>56</v>
      </c>
      <c r="B40" s="7" t="s">
        <v>103</v>
      </c>
      <c r="C40" s="7" t="s">
        <v>35</v>
      </c>
      <c r="D40" s="7" t="s">
        <v>9</v>
      </c>
      <c r="E40" s="7" t="s">
        <v>52</v>
      </c>
      <c r="F40" s="7" t="s">
        <v>32</v>
      </c>
      <c r="G40" s="24"/>
      <c r="H40" s="10" t="s">
        <v>25</v>
      </c>
      <c r="J40" s="4" t="s">
        <v>92</v>
      </c>
      <c r="L40">
        <v>1</v>
      </c>
      <c r="M40">
        <v>1</v>
      </c>
    </row>
    <row r="41" spans="1:35" ht="17.25" customHeight="1" x14ac:dyDescent="0.35">
      <c r="A41" s="7">
        <v>57</v>
      </c>
      <c r="B41" s="7" t="s">
        <v>104</v>
      </c>
      <c r="C41" s="16" t="s">
        <v>37</v>
      </c>
      <c r="D41" s="7" t="s">
        <v>8</v>
      </c>
      <c r="E41" s="7" t="s">
        <v>83</v>
      </c>
      <c r="F41" s="7" t="s">
        <v>32</v>
      </c>
      <c r="G41" s="24"/>
      <c r="H41" s="10" t="s">
        <v>25</v>
      </c>
      <c r="J41" s="4" t="s">
        <v>20</v>
      </c>
      <c r="K41">
        <v>61</v>
      </c>
      <c r="L41">
        <v>88</v>
      </c>
      <c r="M41">
        <v>149</v>
      </c>
    </row>
    <row r="42" spans="1:35" ht="17.25" customHeight="1" x14ac:dyDescent="0.35">
      <c r="A42" s="17">
        <v>58</v>
      </c>
      <c r="B42" s="17" t="s">
        <v>51</v>
      </c>
      <c r="C42" s="17" t="s">
        <v>58</v>
      </c>
      <c r="D42" s="17" t="s">
        <v>8</v>
      </c>
      <c r="E42" s="17" t="s">
        <v>105</v>
      </c>
      <c r="F42" s="17" t="s">
        <v>32</v>
      </c>
      <c r="G42" s="25">
        <v>46196</v>
      </c>
      <c r="H42" s="17" t="s">
        <v>14</v>
      </c>
    </row>
    <row r="43" spans="1:35" ht="17.25" customHeight="1" x14ac:dyDescent="0.35">
      <c r="A43" s="7">
        <v>59</v>
      </c>
      <c r="B43" s="7" t="s">
        <v>51</v>
      </c>
      <c r="C43" s="7" t="s">
        <v>35</v>
      </c>
      <c r="D43" s="7" t="s">
        <v>9</v>
      </c>
      <c r="E43" s="7" t="s">
        <v>52</v>
      </c>
      <c r="F43" s="7" t="s">
        <v>32</v>
      </c>
      <c r="G43" s="24"/>
      <c r="H43" s="10" t="s">
        <v>25</v>
      </c>
    </row>
    <row r="44" spans="1:35" ht="17.25" customHeight="1" x14ac:dyDescent="0.35">
      <c r="A44" s="7">
        <v>60</v>
      </c>
      <c r="B44" s="7" t="s">
        <v>106</v>
      </c>
      <c r="C44" s="7" t="s">
        <v>54</v>
      </c>
      <c r="D44" s="7" t="s">
        <v>9</v>
      </c>
      <c r="E44" s="7" t="s">
        <v>9</v>
      </c>
      <c r="F44" s="7" t="s">
        <v>32</v>
      </c>
      <c r="G44" s="24"/>
      <c r="H44" s="10" t="s">
        <v>25</v>
      </c>
    </row>
    <row r="45" spans="1:35" ht="17.25" customHeight="1" x14ac:dyDescent="0.35">
      <c r="A45" s="7">
        <v>61</v>
      </c>
      <c r="B45" s="7" t="s">
        <v>107</v>
      </c>
      <c r="C45" s="7" t="s">
        <v>45</v>
      </c>
      <c r="D45" s="7" t="s">
        <v>8</v>
      </c>
      <c r="E45" s="7" t="s">
        <v>108</v>
      </c>
      <c r="F45" s="7" t="s">
        <v>32</v>
      </c>
      <c r="G45" s="24"/>
      <c r="H45" s="10" t="s">
        <v>25</v>
      </c>
    </row>
    <row r="46" spans="1:35" ht="17.25" customHeight="1" x14ac:dyDescent="0.35">
      <c r="A46" s="7">
        <v>62</v>
      </c>
      <c r="B46" s="7" t="s">
        <v>109</v>
      </c>
      <c r="C46" s="7" t="s">
        <v>53</v>
      </c>
      <c r="D46" s="7" t="s">
        <v>8</v>
      </c>
      <c r="E46" s="7" t="s">
        <v>110</v>
      </c>
      <c r="F46" s="7" t="s">
        <v>13</v>
      </c>
      <c r="G46" s="24">
        <v>46199</v>
      </c>
      <c r="H46" s="10" t="s">
        <v>25</v>
      </c>
    </row>
    <row r="47" spans="1:35" ht="17.25" customHeight="1" x14ac:dyDescent="0.35">
      <c r="A47" s="7">
        <v>63</v>
      </c>
      <c r="B47" s="7" t="s">
        <v>111</v>
      </c>
      <c r="C47" s="7" t="s">
        <v>53</v>
      </c>
      <c r="D47" s="7" t="s">
        <v>8</v>
      </c>
      <c r="E47" s="7" t="s">
        <v>112</v>
      </c>
      <c r="F47" s="7" t="s">
        <v>13</v>
      </c>
      <c r="G47" s="24"/>
      <c r="H47" s="10" t="s">
        <v>25</v>
      </c>
    </row>
    <row r="48" spans="1:35" ht="17.25" customHeight="1" x14ac:dyDescent="0.35">
      <c r="A48" s="7">
        <v>64</v>
      </c>
      <c r="B48" s="7" t="s">
        <v>113</v>
      </c>
      <c r="C48" s="16" t="s">
        <v>30</v>
      </c>
      <c r="D48" s="7" t="s">
        <v>8</v>
      </c>
      <c r="E48" s="7" t="s">
        <v>114</v>
      </c>
      <c r="F48" s="7" t="s">
        <v>13</v>
      </c>
      <c r="G48" s="24">
        <v>46197</v>
      </c>
      <c r="H48" s="10" t="s">
        <v>25</v>
      </c>
    </row>
    <row r="49" spans="1:8" ht="17.25" customHeight="1" x14ac:dyDescent="0.35">
      <c r="A49" s="17">
        <v>65</v>
      </c>
      <c r="B49" s="17" t="s">
        <v>115</v>
      </c>
      <c r="C49" s="17" t="s">
        <v>58</v>
      </c>
      <c r="D49" s="17" t="s">
        <v>8</v>
      </c>
      <c r="E49" s="17" t="s">
        <v>116</v>
      </c>
      <c r="F49" s="17" t="s">
        <v>13</v>
      </c>
      <c r="G49" s="25">
        <v>46196</v>
      </c>
      <c r="H49" s="17" t="s">
        <v>14</v>
      </c>
    </row>
    <row r="50" spans="1:8" ht="17.25" customHeight="1" x14ac:dyDescent="0.35">
      <c r="A50" s="7">
        <v>66</v>
      </c>
      <c r="B50" s="7" t="s">
        <v>117</v>
      </c>
      <c r="C50" s="7" t="s">
        <v>46</v>
      </c>
      <c r="D50" s="7" t="s">
        <v>9</v>
      </c>
      <c r="E50" s="7" t="s">
        <v>9</v>
      </c>
      <c r="F50" s="7" t="s">
        <v>13</v>
      </c>
      <c r="G50" s="24"/>
      <c r="H50" s="7" t="s">
        <v>14</v>
      </c>
    </row>
    <row r="51" spans="1:8" ht="17.25" customHeight="1" x14ac:dyDescent="0.35">
      <c r="A51" s="7">
        <v>67</v>
      </c>
      <c r="B51" s="7" t="s">
        <v>118</v>
      </c>
      <c r="C51" s="7" t="s">
        <v>90</v>
      </c>
      <c r="D51" s="7" t="s">
        <v>8</v>
      </c>
      <c r="E51" s="7" t="s">
        <v>119</v>
      </c>
      <c r="F51" s="7" t="s">
        <v>13</v>
      </c>
      <c r="G51" s="24"/>
      <c r="H51" s="7" t="s">
        <v>14</v>
      </c>
    </row>
    <row r="52" spans="1:8" ht="17.25" customHeight="1" x14ac:dyDescent="0.35">
      <c r="A52" s="7">
        <v>68</v>
      </c>
      <c r="B52" s="7" t="s">
        <v>115</v>
      </c>
      <c r="C52" s="7" t="s">
        <v>23</v>
      </c>
      <c r="D52" s="7" t="s">
        <v>8</v>
      </c>
      <c r="E52" s="7" t="s">
        <v>120</v>
      </c>
      <c r="F52" s="7" t="s">
        <v>13</v>
      </c>
      <c r="G52" s="24"/>
      <c r="H52" s="10" t="s">
        <v>25</v>
      </c>
    </row>
    <row r="53" spans="1:8" ht="17.25" customHeight="1" x14ac:dyDescent="0.35">
      <c r="A53" s="7">
        <v>69</v>
      </c>
      <c r="B53" s="7" t="s">
        <v>121</v>
      </c>
      <c r="C53" s="7" t="s">
        <v>21</v>
      </c>
      <c r="D53" s="7" t="s">
        <v>8</v>
      </c>
      <c r="E53" s="7" t="s">
        <v>60</v>
      </c>
      <c r="F53" s="7" t="s">
        <v>13</v>
      </c>
      <c r="G53" s="24"/>
      <c r="H53" s="7" t="s">
        <v>14</v>
      </c>
    </row>
    <row r="54" spans="1:8" ht="17.25" customHeight="1" x14ac:dyDescent="0.35">
      <c r="A54" s="7">
        <v>70</v>
      </c>
      <c r="B54" s="7" t="s">
        <v>122</v>
      </c>
      <c r="C54" s="16" t="s">
        <v>53</v>
      </c>
      <c r="D54" s="7" t="s">
        <v>8</v>
      </c>
      <c r="E54" s="7" t="s">
        <v>25</v>
      </c>
      <c r="F54" s="7" t="s">
        <v>13</v>
      </c>
      <c r="G54" s="24"/>
      <c r="H54" s="10" t="s">
        <v>25</v>
      </c>
    </row>
    <row r="55" spans="1:8" ht="17.25" customHeight="1" x14ac:dyDescent="0.35">
      <c r="A55" s="7">
        <v>71</v>
      </c>
      <c r="B55" s="7" t="s">
        <v>123</v>
      </c>
      <c r="C55" s="16" t="s">
        <v>53</v>
      </c>
      <c r="D55" s="7" t="s">
        <v>8</v>
      </c>
      <c r="E55" s="7" t="s">
        <v>25</v>
      </c>
      <c r="F55" s="7" t="s">
        <v>13</v>
      </c>
      <c r="G55" s="24"/>
      <c r="H55" s="10" t="s">
        <v>25</v>
      </c>
    </row>
    <row r="56" spans="1:8" ht="17.25" customHeight="1" x14ac:dyDescent="0.35">
      <c r="A56" s="7">
        <v>72</v>
      </c>
      <c r="B56" s="7" t="s">
        <v>124</v>
      </c>
      <c r="C56" s="7" t="s">
        <v>75</v>
      </c>
      <c r="D56" s="7" t="s">
        <v>9</v>
      </c>
      <c r="E56" s="7" t="s">
        <v>9</v>
      </c>
      <c r="F56" s="7" t="s">
        <v>13</v>
      </c>
      <c r="G56" s="24"/>
      <c r="H56" s="10" t="s">
        <v>25</v>
      </c>
    </row>
    <row r="57" spans="1:8" ht="17.25" customHeight="1" x14ac:dyDescent="0.35">
      <c r="A57" s="7">
        <v>73</v>
      </c>
      <c r="B57" s="7" t="s">
        <v>125</v>
      </c>
      <c r="C57" s="7" t="s">
        <v>73</v>
      </c>
      <c r="D57" s="7" t="s">
        <v>8</v>
      </c>
      <c r="E57" s="7" t="s">
        <v>110</v>
      </c>
      <c r="F57" s="7" t="s">
        <v>13</v>
      </c>
      <c r="G57" s="24"/>
      <c r="H57" s="10" t="s">
        <v>25</v>
      </c>
    </row>
    <row r="58" spans="1:8" ht="17.25" customHeight="1" x14ac:dyDescent="0.35">
      <c r="A58" s="7">
        <v>74</v>
      </c>
      <c r="B58" s="7" t="s">
        <v>126</v>
      </c>
      <c r="C58" s="7" t="s">
        <v>23</v>
      </c>
      <c r="D58" s="7" t="s">
        <v>8</v>
      </c>
      <c r="E58" s="7" t="s">
        <v>110</v>
      </c>
      <c r="F58" s="7" t="s">
        <v>13</v>
      </c>
      <c r="G58" s="24">
        <v>46197</v>
      </c>
      <c r="H58" s="10" t="s">
        <v>25</v>
      </c>
    </row>
    <row r="59" spans="1:8" ht="17.25" customHeight="1" x14ac:dyDescent="0.35">
      <c r="A59" s="7">
        <v>75</v>
      </c>
      <c r="B59" s="7" t="s">
        <v>127</v>
      </c>
      <c r="C59" s="7" t="s">
        <v>45</v>
      </c>
      <c r="D59" s="7" t="s">
        <v>8</v>
      </c>
      <c r="E59" s="7" t="s">
        <v>128</v>
      </c>
      <c r="F59" s="7" t="s">
        <v>13</v>
      </c>
      <c r="G59" s="24"/>
      <c r="H59" s="10" t="s">
        <v>25</v>
      </c>
    </row>
    <row r="60" spans="1:8" ht="17.25" customHeight="1" x14ac:dyDescent="0.35">
      <c r="A60" s="7">
        <v>76</v>
      </c>
      <c r="B60" s="7" t="s">
        <v>129</v>
      </c>
      <c r="C60" s="7" t="s">
        <v>53</v>
      </c>
      <c r="D60" s="7" t="s">
        <v>8</v>
      </c>
      <c r="E60" s="7" t="s">
        <v>110</v>
      </c>
      <c r="F60" s="7" t="s">
        <v>13</v>
      </c>
      <c r="G60" s="24">
        <v>46197</v>
      </c>
      <c r="H60" s="10" t="s">
        <v>25</v>
      </c>
    </row>
    <row r="61" spans="1:8" ht="17.25" customHeight="1" x14ac:dyDescent="0.35">
      <c r="A61" s="7">
        <v>77</v>
      </c>
      <c r="B61" s="7" t="s">
        <v>130</v>
      </c>
      <c r="C61" s="7" t="s">
        <v>53</v>
      </c>
      <c r="D61" s="7" t="s">
        <v>8</v>
      </c>
      <c r="E61" s="7" t="s">
        <v>131</v>
      </c>
      <c r="F61" s="7" t="s">
        <v>13</v>
      </c>
      <c r="G61" s="24">
        <v>46196</v>
      </c>
      <c r="H61" s="10" t="s">
        <v>25</v>
      </c>
    </row>
    <row r="62" spans="1:8" ht="17.25" customHeight="1" x14ac:dyDescent="0.35">
      <c r="A62" s="7">
        <v>78</v>
      </c>
      <c r="B62" s="7" t="s">
        <v>130</v>
      </c>
      <c r="C62" s="7" t="s">
        <v>23</v>
      </c>
      <c r="D62" s="7" t="s">
        <v>8</v>
      </c>
      <c r="E62" s="7" t="s">
        <v>132</v>
      </c>
      <c r="F62" s="7" t="s">
        <v>13</v>
      </c>
      <c r="G62" s="24"/>
      <c r="H62" s="10" t="s">
        <v>25</v>
      </c>
    </row>
    <row r="63" spans="1:8" ht="17.25" customHeight="1" x14ac:dyDescent="0.35">
      <c r="A63" s="7">
        <v>79</v>
      </c>
      <c r="B63" s="7" t="s">
        <v>133</v>
      </c>
      <c r="C63" s="7" t="s">
        <v>23</v>
      </c>
      <c r="D63" s="7" t="s">
        <v>8</v>
      </c>
      <c r="E63" s="7" t="s">
        <v>25</v>
      </c>
      <c r="F63" s="7" t="s">
        <v>13</v>
      </c>
      <c r="G63" s="24">
        <v>46196</v>
      </c>
      <c r="H63" s="10" t="s">
        <v>25</v>
      </c>
    </row>
    <row r="64" spans="1:8" ht="17.25" customHeight="1" x14ac:dyDescent="0.35">
      <c r="A64" s="7">
        <v>80</v>
      </c>
      <c r="B64" s="7" t="s">
        <v>134</v>
      </c>
      <c r="C64" s="7" t="s">
        <v>73</v>
      </c>
      <c r="D64" s="7" t="s">
        <v>9</v>
      </c>
      <c r="E64" s="7" t="s">
        <v>9</v>
      </c>
      <c r="F64" s="7" t="s">
        <v>13</v>
      </c>
      <c r="G64" s="24"/>
      <c r="H64" s="10" t="s">
        <v>25</v>
      </c>
    </row>
    <row r="65" spans="1:8" ht="17.25" customHeight="1" x14ac:dyDescent="0.35">
      <c r="A65" s="7">
        <v>81</v>
      </c>
      <c r="B65" s="7" t="s">
        <v>135</v>
      </c>
      <c r="C65" s="7"/>
      <c r="D65" s="7" t="s">
        <v>8</v>
      </c>
      <c r="E65" s="7" t="s">
        <v>60</v>
      </c>
      <c r="F65" s="7" t="s">
        <v>13</v>
      </c>
      <c r="G65" s="24"/>
      <c r="H65" s="10" t="s">
        <v>25</v>
      </c>
    </row>
    <row r="66" spans="1:8" ht="17.25" customHeight="1" x14ac:dyDescent="0.35">
      <c r="A66" s="7">
        <v>82</v>
      </c>
      <c r="B66" s="7" t="s">
        <v>89</v>
      </c>
      <c r="C66" s="7" t="s">
        <v>34</v>
      </c>
      <c r="D66" s="7" t="s">
        <v>9</v>
      </c>
      <c r="E66" s="7" t="s">
        <v>136</v>
      </c>
      <c r="F66" s="7" t="s">
        <v>13</v>
      </c>
      <c r="G66" s="24"/>
      <c r="H66" s="7" t="s">
        <v>14</v>
      </c>
    </row>
    <row r="67" spans="1:8" ht="17.25" customHeight="1" x14ac:dyDescent="0.35">
      <c r="A67" s="7">
        <v>83</v>
      </c>
      <c r="B67" s="7" t="s">
        <v>133</v>
      </c>
      <c r="C67" s="7" t="s">
        <v>23</v>
      </c>
      <c r="D67" s="7" t="s">
        <v>9</v>
      </c>
      <c r="E67" s="7" t="s">
        <v>9</v>
      </c>
      <c r="F67" s="7" t="s">
        <v>13</v>
      </c>
      <c r="G67" s="24">
        <v>46198</v>
      </c>
      <c r="H67" s="10" t="s">
        <v>25</v>
      </c>
    </row>
    <row r="68" spans="1:8" ht="17.25" customHeight="1" x14ac:dyDescent="0.35">
      <c r="A68" s="7">
        <v>84</v>
      </c>
      <c r="B68" s="7" t="s">
        <v>137</v>
      </c>
      <c r="C68" s="7" t="s">
        <v>34</v>
      </c>
      <c r="D68" s="7" t="s">
        <v>9</v>
      </c>
      <c r="E68" s="7" t="s">
        <v>138</v>
      </c>
      <c r="F68" s="7" t="s">
        <v>13</v>
      </c>
      <c r="G68" s="24"/>
      <c r="H68" s="7" t="s">
        <v>14</v>
      </c>
    </row>
    <row r="69" spans="1:8" ht="17.25" customHeight="1" x14ac:dyDescent="0.35">
      <c r="A69" s="7">
        <v>85</v>
      </c>
      <c r="B69" s="7" t="s">
        <v>139</v>
      </c>
      <c r="C69" s="7" t="s">
        <v>79</v>
      </c>
      <c r="D69" s="7" t="s">
        <v>9</v>
      </c>
      <c r="E69" s="7" t="s">
        <v>9</v>
      </c>
      <c r="F69" s="7" t="s">
        <v>13</v>
      </c>
      <c r="G69" s="24"/>
      <c r="H69" s="7" t="s">
        <v>14</v>
      </c>
    </row>
    <row r="70" spans="1:8" ht="17.25" customHeight="1" x14ac:dyDescent="0.35">
      <c r="A70" s="7">
        <v>86</v>
      </c>
      <c r="B70" s="7" t="s">
        <v>140</v>
      </c>
      <c r="C70" s="16" t="s">
        <v>53</v>
      </c>
      <c r="D70" s="7" t="s">
        <v>8</v>
      </c>
      <c r="E70" s="7" t="s">
        <v>25</v>
      </c>
      <c r="F70" s="7" t="s">
        <v>13</v>
      </c>
      <c r="G70" s="24">
        <v>46198</v>
      </c>
      <c r="H70" s="10" t="s">
        <v>25</v>
      </c>
    </row>
    <row r="71" spans="1:8" ht="17.25" customHeight="1" x14ac:dyDescent="0.35">
      <c r="A71" s="7">
        <v>87</v>
      </c>
      <c r="B71" s="7" t="s">
        <v>141</v>
      </c>
      <c r="C71" s="7" t="s">
        <v>57</v>
      </c>
      <c r="D71" s="7" t="s">
        <v>8</v>
      </c>
      <c r="E71" s="7" t="s">
        <v>142</v>
      </c>
      <c r="F71" s="7" t="s">
        <v>13</v>
      </c>
      <c r="G71" s="24"/>
      <c r="H71" s="7" t="s">
        <v>14</v>
      </c>
    </row>
    <row r="72" spans="1:8" ht="17.25" customHeight="1" x14ac:dyDescent="0.35">
      <c r="A72" s="7">
        <v>88</v>
      </c>
      <c r="B72" s="7" t="s">
        <v>143</v>
      </c>
      <c r="C72" s="16" t="s">
        <v>37</v>
      </c>
      <c r="D72" s="7" t="s">
        <v>8</v>
      </c>
      <c r="E72" s="7" t="s">
        <v>60</v>
      </c>
      <c r="F72" s="7" t="s">
        <v>13</v>
      </c>
      <c r="G72" s="24"/>
      <c r="H72" s="10" t="s">
        <v>25</v>
      </c>
    </row>
    <row r="73" spans="1:8" ht="17.25" customHeight="1" x14ac:dyDescent="0.35">
      <c r="A73" s="17">
        <v>89</v>
      </c>
      <c r="B73" s="17" t="s">
        <v>144</v>
      </c>
      <c r="C73" s="17" t="s">
        <v>63</v>
      </c>
      <c r="D73" s="17" t="s">
        <v>9</v>
      </c>
      <c r="E73" s="17" t="s">
        <v>9</v>
      </c>
      <c r="F73" s="17" t="s">
        <v>13</v>
      </c>
      <c r="G73" s="25"/>
      <c r="H73" s="17" t="s">
        <v>14</v>
      </c>
    </row>
    <row r="74" spans="1:8" ht="17.25" customHeight="1" x14ac:dyDescent="0.35">
      <c r="A74" s="7">
        <v>90</v>
      </c>
      <c r="B74" s="7"/>
      <c r="C74" s="7" t="s">
        <v>45</v>
      </c>
      <c r="D74" s="7" t="s">
        <v>8</v>
      </c>
      <c r="E74" s="7" t="s">
        <v>145</v>
      </c>
      <c r="F74" s="7" t="s">
        <v>13</v>
      </c>
      <c r="G74" s="24"/>
      <c r="H74" s="10" t="s">
        <v>25</v>
      </c>
    </row>
    <row r="75" spans="1:8" ht="17.25" customHeight="1" x14ac:dyDescent="0.35">
      <c r="A75" s="7">
        <v>91</v>
      </c>
      <c r="B75" s="7" t="s">
        <v>146</v>
      </c>
      <c r="C75" s="7" t="s">
        <v>45</v>
      </c>
      <c r="D75" s="7" t="s">
        <v>9</v>
      </c>
      <c r="E75" s="7" t="s">
        <v>9</v>
      </c>
      <c r="F75" s="7" t="s">
        <v>13</v>
      </c>
      <c r="G75" s="24"/>
      <c r="H75" s="10" t="s">
        <v>25</v>
      </c>
    </row>
    <row r="76" spans="1:8" ht="17.25" customHeight="1" x14ac:dyDescent="0.35">
      <c r="A76" s="7">
        <v>92</v>
      </c>
      <c r="B76" s="7" t="s">
        <v>147</v>
      </c>
      <c r="C76" s="7" t="s">
        <v>61</v>
      </c>
      <c r="D76" s="7" t="s">
        <v>9</v>
      </c>
      <c r="E76" s="7" t="s">
        <v>9</v>
      </c>
      <c r="F76" s="7" t="s">
        <v>13</v>
      </c>
      <c r="G76" s="24"/>
      <c r="H76" s="7" t="s">
        <v>14</v>
      </c>
    </row>
    <row r="77" spans="1:8" ht="17.25" customHeight="1" x14ac:dyDescent="0.35">
      <c r="A77" s="7">
        <v>93</v>
      </c>
      <c r="B77" s="7" t="s">
        <v>148</v>
      </c>
      <c r="C77" s="7" t="s">
        <v>57</v>
      </c>
      <c r="D77" s="7" t="s">
        <v>8</v>
      </c>
      <c r="E77" s="7" t="s">
        <v>132</v>
      </c>
      <c r="F77" s="7" t="s">
        <v>13</v>
      </c>
      <c r="G77" s="24"/>
      <c r="H77" s="7" t="s">
        <v>14</v>
      </c>
    </row>
    <row r="78" spans="1:8" ht="17.25" customHeight="1" x14ac:dyDescent="0.35">
      <c r="A78" s="7">
        <v>94</v>
      </c>
      <c r="B78" s="7" t="s">
        <v>149</v>
      </c>
      <c r="C78" s="7" t="s">
        <v>57</v>
      </c>
      <c r="D78" s="7" t="s">
        <v>9</v>
      </c>
      <c r="E78" s="7" t="s">
        <v>9</v>
      </c>
      <c r="F78" s="7" t="s">
        <v>13</v>
      </c>
      <c r="G78" s="24"/>
      <c r="H78" s="7" t="s">
        <v>14</v>
      </c>
    </row>
    <row r="79" spans="1:8" ht="17.25" customHeight="1" x14ac:dyDescent="0.35">
      <c r="A79" s="7">
        <v>95</v>
      </c>
      <c r="B79" s="7" t="s">
        <v>150</v>
      </c>
      <c r="C79" s="7" t="s">
        <v>45</v>
      </c>
      <c r="D79" s="7" t="s">
        <v>8</v>
      </c>
      <c r="E79" s="7" t="s">
        <v>132</v>
      </c>
      <c r="F79" s="7" t="s">
        <v>13</v>
      </c>
      <c r="G79" s="24"/>
      <c r="H79" s="10" t="s">
        <v>25</v>
      </c>
    </row>
    <row r="80" spans="1:8" ht="17.25" customHeight="1" x14ac:dyDescent="0.35">
      <c r="A80" s="7">
        <v>96</v>
      </c>
      <c r="B80" s="7" t="s">
        <v>151</v>
      </c>
      <c r="C80" s="7" t="s">
        <v>45</v>
      </c>
      <c r="D80" s="7" t="s">
        <v>9</v>
      </c>
      <c r="E80" s="7" t="s">
        <v>138</v>
      </c>
      <c r="F80" s="7" t="s">
        <v>13</v>
      </c>
      <c r="G80" s="24"/>
      <c r="H80" s="10" t="s">
        <v>25</v>
      </c>
    </row>
    <row r="81" spans="1:8" ht="17.25" customHeight="1" x14ac:dyDescent="0.35">
      <c r="A81" s="7">
        <v>97</v>
      </c>
      <c r="B81" s="7" t="s">
        <v>152</v>
      </c>
      <c r="C81" s="7" t="s">
        <v>21</v>
      </c>
      <c r="D81" s="7" t="s">
        <v>8</v>
      </c>
      <c r="E81" s="7" t="s">
        <v>153</v>
      </c>
      <c r="F81" s="7" t="s">
        <v>13</v>
      </c>
      <c r="G81" s="24"/>
      <c r="H81" s="7" t="s">
        <v>14</v>
      </c>
    </row>
    <row r="82" spans="1:8" ht="17.25" customHeight="1" x14ac:dyDescent="0.35">
      <c r="A82" s="7">
        <v>98</v>
      </c>
      <c r="B82" s="7" t="s">
        <v>154</v>
      </c>
      <c r="C82" s="7" t="s">
        <v>45</v>
      </c>
      <c r="D82" s="7" t="s">
        <v>8</v>
      </c>
      <c r="E82" s="7" t="s">
        <v>112</v>
      </c>
      <c r="F82" s="7" t="s">
        <v>13</v>
      </c>
      <c r="G82" s="24">
        <v>46196</v>
      </c>
      <c r="H82" s="10" t="s">
        <v>25</v>
      </c>
    </row>
    <row r="83" spans="1:8" ht="17.25" customHeight="1" x14ac:dyDescent="0.35">
      <c r="A83" s="7">
        <v>99</v>
      </c>
      <c r="B83" s="7" t="s">
        <v>155</v>
      </c>
      <c r="C83" s="7" t="s">
        <v>45</v>
      </c>
      <c r="D83" s="7" t="s">
        <v>8</v>
      </c>
      <c r="E83" s="7" t="s">
        <v>112</v>
      </c>
      <c r="F83" s="7" t="s">
        <v>13</v>
      </c>
      <c r="G83" s="24"/>
      <c r="H83" s="10" t="s">
        <v>25</v>
      </c>
    </row>
    <row r="84" spans="1:8" ht="17.25" customHeight="1" x14ac:dyDescent="0.35">
      <c r="A84" s="7">
        <v>100</v>
      </c>
      <c r="B84" s="7" t="s">
        <v>156</v>
      </c>
      <c r="C84" s="7" t="s">
        <v>57</v>
      </c>
      <c r="D84" s="7" t="s">
        <v>8</v>
      </c>
      <c r="E84" s="7" t="s">
        <v>60</v>
      </c>
      <c r="F84" s="7" t="s">
        <v>13</v>
      </c>
      <c r="G84" s="24"/>
      <c r="H84" s="7" t="s">
        <v>14</v>
      </c>
    </row>
    <row r="85" spans="1:8" ht="17.25" customHeight="1" x14ac:dyDescent="0.35">
      <c r="A85" s="7">
        <v>101</v>
      </c>
      <c r="B85" s="7" t="s">
        <v>157</v>
      </c>
      <c r="C85" s="7" t="s">
        <v>37</v>
      </c>
      <c r="D85" s="7" t="s">
        <v>9</v>
      </c>
      <c r="E85" s="7" t="s">
        <v>9</v>
      </c>
      <c r="F85" s="7" t="s">
        <v>13</v>
      </c>
      <c r="G85" s="24"/>
      <c r="H85" s="10" t="s">
        <v>25</v>
      </c>
    </row>
    <row r="86" spans="1:8" ht="17.25" customHeight="1" x14ac:dyDescent="0.35">
      <c r="A86" s="7">
        <v>102</v>
      </c>
      <c r="B86" s="7" t="s">
        <v>158</v>
      </c>
      <c r="C86" s="7" t="s">
        <v>85</v>
      </c>
      <c r="D86" s="7" t="s">
        <v>8</v>
      </c>
      <c r="E86" s="7" t="s">
        <v>112</v>
      </c>
      <c r="F86" s="7" t="s">
        <v>13</v>
      </c>
      <c r="G86" s="24"/>
      <c r="H86" s="7" t="s">
        <v>14</v>
      </c>
    </row>
    <row r="87" spans="1:8" ht="17.25" customHeight="1" x14ac:dyDescent="0.35">
      <c r="A87" s="7">
        <v>103</v>
      </c>
      <c r="B87" s="7" t="s">
        <v>159</v>
      </c>
      <c r="C87" s="7" t="s">
        <v>23</v>
      </c>
      <c r="D87" s="7" t="s">
        <v>9</v>
      </c>
      <c r="E87" s="7" t="s">
        <v>9</v>
      </c>
      <c r="F87" s="7" t="s">
        <v>13</v>
      </c>
      <c r="G87" s="24"/>
      <c r="H87" s="10" t="s">
        <v>25</v>
      </c>
    </row>
    <row r="88" spans="1:8" ht="17.25" customHeight="1" x14ac:dyDescent="0.35">
      <c r="A88" s="7">
        <v>104</v>
      </c>
      <c r="B88" s="7" t="s">
        <v>160</v>
      </c>
      <c r="C88" s="7" t="s">
        <v>49</v>
      </c>
      <c r="D88" s="7" t="s">
        <v>9</v>
      </c>
      <c r="E88" s="7" t="s">
        <v>9</v>
      </c>
      <c r="F88" s="7" t="s">
        <v>13</v>
      </c>
      <c r="G88" s="24"/>
      <c r="H88" s="10" t="s">
        <v>25</v>
      </c>
    </row>
    <row r="89" spans="1:8" ht="17.25" customHeight="1" x14ac:dyDescent="0.35">
      <c r="A89" s="7">
        <v>105</v>
      </c>
      <c r="B89" s="7" t="s">
        <v>161</v>
      </c>
      <c r="C89" s="7" t="s">
        <v>21</v>
      </c>
      <c r="D89" s="7" t="s">
        <v>8</v>
      </c>
      <c r="E89" s="7" t="s">
        <v>162</v>
      </c>
      <c r="F89" s="7" t="s">
        <v>13</v>
      </c>
      <c r="G89" s="24"/>
      <c r="H89" s="7" t="s">
        <v>14</v>
      </c>
    </row>
    <row r="90" spans="1:8" ht="17.25" customHeight="1" x14ac:dyDescent="0.35">
      <c r="A90" s="7">
        <v>106</v>
      </c>
      <c r="B90" s="7" t="s">
        <v>163</v>
      </c>
      <c r="C90" s="7" t="s">
        <v>21</v>
      </c>
      <c r="D90" s="7" t="s">
        <v>8</v>
      </c>
      <c r="E90" s="7" t="s">
        <v>132</v>
      </c>
      <c r="F90" s="7" t="s">
        <v>13</v>
      </c>
      <c r="G90" s="24"/>
      <c r="H90" s="7" t="s">
        <v>14</v>
      </c>
    </row>
    <row r="91" spans="1:8" ht="17.25" customHeight="1" x14ac:dyDescent="0.35">
      <c r="A91" s="7">
        <v>107</v>
      </c>
      <c r="B91" s="7" t="s">
        <v>164</v>
      </c>
      <c r="C91" s="7" t="s">
        <v>23</v>
      </c>
      <c r="D91" s="7" t="s">
        <v>8</v>
      </c>
      <c r="E91" s="7" t="s">
        <v>60</v>
      </c>
      <c r="F91" s="7" t="s">
        <v>13</v>
      </c>
      <c r="G91" s="24"/>
      <c r="H91" s="10" t="s">
        <v>25</v>
      </c>
    </row>
    <row r="92" spans="1:8" ht="17.25" customHeight="1" x14ac:dyDescent="0.35">
      <c r="A92" s="7">
        <v>108</v>
      </c>
      <c r="B92" s="7" t="s">
        <v>165</v>
      </c>
      <c r="C92" s="7" t="s">
        <v>23</v>
      </c>
      <c r="D92" s="7" t="s">
        <v>8</v>
      </c>
      <c r="E92" s="7" t="s">
        <v>60</v>
      </c>
      <c r="F92" s="7" t="s">
        <v>13</v>
      </c>
      <c r="G92" s="24"/>
      <c r="H92" s="10" t="s">
        <v>25</v>
      </c>
    </row>
    <row r="93" spans="1:8" ht="17.25" customHeight="1" x14ac:dyDescent="0.35">
      <c r="A93" s="7">
        <v>109</v>
      </c>
      <c r="B93" s="7" t="s">
        <v>166</v>
      </c>
      <c r="C93" s="7" t="s">
        <v>61</v>
      </c>
      <c r="D93" s="7" t="s">
        <v>9</v>
      </c>
      <c r="E93" s="7" t="s">
        <v>9</v>
      </c>
      <c r="F93" s="7" t="s">
        <v>13</v>
      </c>
      <c r="G93" s="24"/>
      <c r="H93" s="7" t="s">
        <v>14</v>
      </c>
    </row>
    <row r="94" spans="1:8" ht="17.25" customHeight="1" x14ac:dyDescent="0.35">
      <c r="A94" s="7">
        <v>110</v>
      </c>
      <c r="B94" s="7" t="s">
        <v>167</v>
      </c>
      <c r="C94" s="7" t="s">
        <v>46</v>
      </c>
      <c r="D94" s="7" t="s">
        <v>9</v>
      </c>
      <c r="E94" s="7" t="s">
        <v>168</v>
      </c>
      <c r="F94" s="7" t="s">
        <v>13</v>
      </c>
      <c r="G94" s="24"/>
      <c r="H94" s="7" t="s">
        <v>14</v>
      </c>
    </row>
    <row r="95" spans="1:8" ht="17.25" customHeight="1" x14ac:dyDescent="0.35">
      <c r="A95" s="7">
        <v>111</v>
      </c>
      <c r="B95" s="7" t="s">
        <v>169</v>
      </c>
      <c r="C95" s="7" t="s">
        <v>57</v>
      </c>
      <c r="D95" s="7" t="s">
        <v>8</v>
      </c>
      <c r="E95" s="7" t="s">
        <v>170</v>
      </c>
      <c r="F95" s="7" t="s">
        <v>13</v>
      </c>
      <c r="G95" s="24"/>
      <c r="H95" s="7" t="s">
        <v>14</v>
      </c>
    </row>
    <row r="96" spans="1:8" ht="17.25" customHeight="1" x14ac:dyDescent="0.35">
      <c r="A96" s="7">
        <v>112</v>
      </c>
      <c r="B96" s="7" t="s">
        <v>171</v>
      </c>
      <c r="C96" s="7" t="s">
        <v>71</v>
      </c>
      <c r="D96" s="7" t="s">
        <v>8</v>
      </c>
      <c r="E96" s="7" t="s">
        <v>172</v>
      </c>
      <c r="F96" s="7" t="s">
        <v>13</v>
      </c>
      <c r="G96" s="24"/>
      <c r="H96" s="10" t="s">
        <v>25</v>
      </c>
    </row>
    <row r="97" spans="1:8" ht="17.25" customHeight="1" x14ac:dyDescent="0.35">
      <c r="A97" s="7">
        <v>113</v>
      </c>
      <c r="B97" s="7" t="s">
        <v>173</v>
      </c>
      <c r="C97" s="7" t="s">
        <v>46</v>
      </c>
      <c r="D97" s="7" t="s">
        <v>9</v>
      </c>
      <c r="E97" s="7" t="s">
        <v>9</v>
      </c>
      <c r="F97" s="7" t="s">
        <v>13</v>
      </c>
      <c r="G97" s="24"/>
      <c r="H97" s="7" t="s">
        <v>14</v>
      </c>
    </row>
    <row r="98" spans="1:8" ht="17.25" customHeight="1" x14ac:dyDescent="0.35">
      <c r="A98" s="7">
        <v>114</v>
      </c>
      <c r="B98" s="11" t="s">
        <v>174</v>
      </c>
      <c r="C98" s="11" t="s">
        <v>48</v>
      </c>
      <c r="D98" s="11" t="s">
        <v>8</v>
      </c>
      <c r="E98" s="11" t="s">
        <v>170</v>
      </c>
      <c r="F98" s="7" t="s">
        <v>13</v>
      </c>
      <c r="G98" s="24">
        <v>46196</v>
      </c>
      <c r="H98" s="7" t="s">
        <v>14</v>
      </c>
    </row>
    <row r="99" spans="1:8" ht="17.25" customHeight="1" x14ac:dyDescent="0.35">
      <c r="A99" s="7">
        <v>115</v>
      </c>
      <c r="B99" s="7" t="s">
        <v>175</v>
      </c>
      <c r="C99" s="7" t="s">
        <v>42</v>
      </c>
      <c r="D99" s="7" t="s">
        <v>9</v>
      </c>
      <c r="E99" s="7" t="s">
        <v>9</v>
      </c>
      <c r="F99" s="7" t="s">
        <v>13</v>
      </c>
      <c r="G99" s="24"/>
      <c r="H99" s="10" t="s">
        <v>24</v>
      </c>
    </row>
    <row r="100" spans="1:8" ht="17.25" customHeight="1" x14ac:dyDescent="0.35">
      <c r="A100" s="7">
        <v>116</v>
      </c>
      <c r="B100" s="7" t="s">
        <v>176</v>
      </c>
      <c r="C100" s="7" t="s">
        <v>57</v>
      </c>
      <c r="D100" s="7" t="s">
        <v>8</v>
      </c>
      <c r="E100" s="7" t="s">
        <v>132</v>
      </c>
      <c r="F100" s="7" t="s">
        <v>13</v>
      </c>
      <c r="G100" s="24"/>
      <c r="H100" s="7" t="s">
        <v>14</v>
      </c>
    </row>
    <row r="101" spans="1:8" ht="17.25" customHeight="1" x14ac:dyDescent="0.35">
      <c r="A101" s="7">
        <v>117</v>
      </c>
      <c r="B101" s="7" t="s">
        <v>177</v>
      </c>
      <c r="C101" s="7" t="s">
        <v>23</v>
      </c>
      <c r="D101" s="7" t="s">
        <v>9</v>
      </c>
      <c r="E101" s="7" t="s">
        <v>9</v>
      </c>
      <c r="F101" s="7" t="s">
        <v>13</v>
      </c>
      <c r="G101" s="24"/>
      <c r="H101" s="10" t="s">
        <v>25</v>
      </c>
    </row>
    <row r="102" spans="1:8" x14ac:dyDescent="0.35">
      <c r="A102" s="7">
        <v>118</v>
      </c>
      <c r="B102" s="7" t="s">
        <v>178</v>
      </c>
      <c r="C102" s="7" t="s">
        <v>29</v>
      </c>
      <c r="D102" s="7" t="s">
        <v>9</v>
      </c>
      <c r="E102" s="7" t="s">
        <v>9</v>
      </c>
      <c r="F102" s="7" t="s">
        <v>13</v>
      </c>
      <c r="G102" s="24"/>
      <c r="H102" s="7" t="s">
        <v>14</v>
      </c>
    </row>
    <row r="103" spans="1:8" x14ac:dyDescent="0.35">
      <c r="A103" s="7">
        <v>119</v>
      </c>
      <c r="B103" s="7" t="s">
        <v>179</v>
      </c>
      <c r="C103" s="7" t="s">
        <v>29</v>
      </c>
      <c r="D103" s="7" t="s">
        <v>8</v>
      </c>
      <c r="E103" s="7" t="s">
        <v>60</v>
      </c>
      <c r="F103" s="7" t="s">
        <v>13</v>
      </c>
      <c r="G103" s="24"/>
      <c r="H103" s="7" t="s">
        <v>14</v>
      </c>
    </row>
    <row r="104" spans="1:8" x14ac:dyDescent="0.35">
      <c r="A104" s="7">
        <v>120</v>
      </c>
      <c r="B104" s="7" t="s">
        <v>180</v>
      </c>
      <c r="C104" s="7" t="s">
        <v>38</v>
      </c>
      <c r="D104" s="7" t="s">
        <v>9</v>
      </c>
      <c r="E104" s="7" t="s">
        <v>9</v>
      </c>
      <c r="F104" s="7" t="s">
        <v>13</v>
      </c>
      <c r="G104" s="24"/>
      <c r="H104" s="10" t="s">
        <v>25</v>
      </c>
    </row>
    <row r="105" spans="1:8" x14ac:dyDescent="0.35">
      <c r="A105" s="7">
        <v>121</v>
      </c>
      <c r="B105" s="7" t="s">
        <v>181</v>
      </c>
      <c r="C105" s="7" t="s">
        <v>23</v>
      </c>
      <c r="D105" s="7" t="s">
        <v>8</v>
      </c>
      <c r="E105" s="7" t="s">
        <v>182</v>
      </c>
      <c r="F105" s="7" t="s">
        <v>13</v>
      </c>
      <c r="G105" s="24"/>
      <c r="H105" s="10" t="s">
        <v>25</v>
      </c>
    </row>
    <row r="106" spans="1:8" x14ac:dyDescent="0.35">
      <c r="A106" s="7">
        <v>122</v>
      </c>
      <c r="B106" s="7" t="s">
        <v>183</v>
      </c>
      <c r="C106" s="7" t="s">
        <v>23</v>
      </c>
      <c r="D106" s="7" t="s">
        <v>9</v>
      </c>
      <c r="E106" s="7" t="s">
        <v>9</v>
      </c>
      <c r="F106" s="7" t="s">
        <v>13</v>
      </c>
      <c r="G106" s="24"/>
      <c r="H106" s="10" t="s">
        <v>25</v>
      </c>
    </row>
    <row r="107" spans="1:8" x14ac:dyDescent="0.35">
      <c r="A107" s="7">
        <v>123</v>
      </c>
      <c r="B107" s="7" t="s">
        <v>184</v>
      </c>
      <c r="C107" s="7" t="s">
        <v>45</v>
      </c>
      <c r="D107" s="7" t="s">
        <v>9</v>
      </c>
      <c r="E107" s="7" t="s">
        <v>9</v>
      </c>
      <c r="F107" s="7" t="s">
        <v>13</v>
      </c>
      <c r="G107" s="24"/>
      <c r="H107" s="10" t="s">
        <v>25</v>
      </c>
    </row>
    <row r="108" spans="1:8" x14ac:dyDescent="0.35">
      <c r="A108" s="7">
        <v>124</v>
      </c>
      <c r="B108" s="7" t="s">
        <v>185</v>
      </c>
      <c r="C108" s="7" t="s">
        <v>46</v>
      </c>
      <c r="D108" s="7" t="s">
        <v>9</v>
      </c>
      <c r="E108" s="7" t="s">
        <v>9</v>
      </c>
      <c r="F108" s="7" t="s">
        <v>13</v>
      </c>
      <c r="G108" s="24"/>
      <c r="H108" s="10" t="s">
        <v>25</v>
      </c>
    </row>
    <row r="109" spans="1:8" x14ac:dyDescent="0.35">
      <c r="A109" s="7">
        <v>125</v>
      </c>
      <c r="B109" s="7" t="s">
        <v>186</v>
      </c>
      <c r="C109" s="7" t="s">
        <v>23</v>
      </c>
      <c r="D109" s="7" t="s">
        <v>8</v>
      </c>
      <c r="E109" s="7" t="s">
        <v>60</v>
      </c>
      <c r="F109" s="7" t="s">
        <v>13</v>
      </c>
      <c r="G109" s="24"/>
      <c r="H109" s="10" t="s">
        <v>25</v>
      </c>
    </row>
    <row r="110" spans="1:8" x14ac:dyDescent="0.35">
      <c r="A110" s="7">
        <v>126</v>
      </c>
      <c r="B110" s="7" t="s">
        <v>187</v>
      </c>
      <c r="C110" s="19" t="s">
        <v>69</v>
      </c>
      <c r="D110" s="7" t="s">
        <v>8</v>
      </c>
      <c r="E110" s="7" t="s">
        <v>56</v>
      </c>
      <c r="F110" s="7" t="s">
        <v>13</v>
      </c>
      <c r="G110" s="24"/>
      <c r="H110" s="10" t="s">
        <v>24</v>
      </c>
    </row>
    <row r="111" spans="1:8" x14ac:dyDescent="0.35">
      <c r="A111" s="7">
        <v>127</v>
      </c>
      <c r="B111" s="7" t="s">
        <v>188</v>
      </c>
      <c r="C111" s="7" t="s">
        <v>29</v>
      </c>
      <c r="D111" s="7" t="s">
        <v>9</v>
      </c>
      <c r="E111" s="7" t="s">
        <v>9</v>
      </c>
      <c r="F111" s="7" t="s">
        <v>13</v>
      </c>
      <c r="G111" s="24"/>
      <c r="H111" s="7" t="s">
        <v>14</v>
      </c>
    </row>
    <row r="112" spans="1:8" x14ac:dyDescent="0.35">
      <c r="A112" s="7">
        <v>128</v>
      </c>
      <c r="B112" s="7" t="s">
        <v>189</v>
      </c>
      <c r="C112" s="16" t="s">
        <v>37</v>
      </c>
      <c r="D112" s="7" t="s">
        <v>8</v>
      </c>
      <c r="E112" s="7" t="s">
        <v>190</v>
      </c>
      <c r="F112" s="7" t="s">
        <v>13</v>
      </c>
      <c r="G112" s="24"/>
      <c r="H112" s="10" t="s">
        <v>25</v>
      </c>
    </row>
    <row r="113" spans="1:8" x14ac:dyDescent="0.35">
      <c r="A113" s="7">
        <v>129</v>
      </c>
      <c r="B113" s="7" t="s">
        <v>191</v>
      </c>
      <c r="C113" s="7" t="s">
        <v>23</v>
      </c>
      <c r="D113" s="7" t="s">
        <v>8</v>
      </c>
      <c r="E113" s="7" t="s">
        <v>190</v>
      </c>
      <c r="F113" s="7" t="s">
        <v>13</v>
      </c>
      <c r="G113" s="24"/>
      <c r="H113" s="10" t="s">
        <v>25</v>
      </c>
    </row>
    <row r="114" spans="1:8" x14ac:dyDescent="0.35">
      <c r="A114" s="17">
        <v>130</v>
      </c>
      <c r="B114" s="18">
        <v>130</v>
      </c>
      <c r="C114" s="17" t="s">
        <v>38</v>
      </c>
      <c r="D114" s="17" t="s">
        <v>8</v>
      </c>
      <c r="E114" s="17" t="s">
        <v>60</v>
      </c>
      <c r="F114" s="17" t="s">
        <v>13</v>
      </c>
      <c r="G114" s="25">
        <v>46196</v>
      </c>
      <c r="H114" s="18" t="s">
        <v>25</v>
      </c>
    </row>
    <row r="115" spans="1:8" x14ac:dyDescent="0.35">
      <c r="A115" s="7">
        <v>131</v>
      </c>
      <c r="B115" s="7" t="s">
        <v>192</v>
      </c>
      <c r="C115" s="7" t="s">
        <v>21</v>
      </c>
      <c r="D115" s="7" t="s">
        <v>8</v>
      </c>
      <c r="E115" s="7" t="s">
        <v>193</v>
      </c>
      <c r="F115" s="7" t="s">
        <v>13</v>
      </c>
      <c r="G115" s="24"/>
      <c r="H115" s="7" t="s">
        <v>14</v>
      </c>
    </row>
    <row r="116" spans="1:8" x14ac:dyDescent="0.35">
      <c r="A116" s="17">
        <v>132</v>
      </c>
      <c r="B116" s="17" t="s">
        <v>194</v>
      </c>
      <c r="C116" s="17" t="s">
        <v>61</v>
      </c>
      <c r="D116" s="17" t="s">
        <v>9</v>
      </c>
      <c r="E116" s="17" t="s">
        <v>9</v>
      </c>
      <c r="F116" s="17" t="s">
        <v>13</v>
      </c>
      <c r="G116" s="25"/>
      <c r="H116" s="18"/>
    </row>
    <row r="117" spans="1:8" x14ac:dyDescent="0.35">
      <c r="A117" s="7">
        <v>133</v>
      </c>
      <c r="B117" s="7" t="s">
        <v>195</v>
      </c>
      <c r="C117" s="7" t="s">
        <v>37</v>
      </c>
      <c r="D117" s="7" t="s">
        <v>9</v>
      </c>
      <c r="E117" s="7" t="s">
        <v>9</v>
      </c>
      <c r="F117" s="7" t="s">
        <v>13</v>
      </c>
      <c r="G117" s="24"/>
      <c r="H117" s="10"/>
    </row>
    <row r="118" spans="1:8" x14ac:dyDescent="0.35">
      <c r="A118" s="7">
        <v>134</v>
      </c>
      <c r="B118" s="7" t="s">
        <v>196</v>
      </c>
      <c r="C118" s="19" t="s">
        <v>31</v>
      </c>
      <c r="D118" s="7" t="s">
        <v>8</v>
      </c>
      <c r="E118" s="7" t="s">
        <v>60</v>
      </c>
      <c r="F118" s="7" t="s">
        <v>13</v>
      </c>
      <c r="G118" s="24">
        <v>46196</v>
      </c>
      <c r="H118" s="10" t="s">
        <v>24</v>
      </c>
    </row>
    <row r="119" spans="1:8" x14ac:dyDescent="0.35">
      <c r="A119" s="7">
        <v>135</v>
      </c>
      <c r="B119" s="7" t="s">
        <v>197</v>
      </c>
      <c r="C119" s="7" t="s">
        <v>23</v>
      </c>
      <c r="D119" s="7" t="s">
        <v>8</v>
      </c>
      <c r="E119" s="7" t="s">
        <v>193</v>
      </c>
      <c r="F119" s="7" t="s">
        <v>13</v>
      </c>
      <c r="G119" s="24"/>
      <c r="H119" s="10" t="s">
        <v>25</v>
      </c>
    </row>
    <row r="120" spans="1:8" x14ac:dyDescent="0.35">
      <c r="A120" s="7">
        <v>136</v>
      </c>
      <c r="B120" s="7" t="s">
        <v>167</v>
      </c>
      <c r="C120" s="7" t="s">
        <v>23</v>
      </c>
      <c r="D120" s="7" t="s">
        <v>8</v>
      </c>
      <c r="E120" s="7" t="s">
        <v>60</v>
      </c>
      <c r="F120" s="7" t="s">
        <v>13</v>
      </c>
      <c r="G120" s="24"/>
      <c r="H120" s="10" t="s">
        <v>25</v>
      </c>
    </row>
    <row r="121" spans="1:8" x14ac:dyDescent="0.35">
      <c r="A121" s="7">
        <v>137</v>
      </c>
      <c r="B121" s="7" t="s">
        <v>198</v>
      </c>
      <c r="C121" s="7" t="s">
        <v>21</v>
      </c>
      <c r="D121" s="7" t="s">
        <v>8</v>
      </c>
      <c r="E121" s="7" t="s">
        <v>60</v>
      </c>
      <c r="F121" s="7" t="s">
        <v>13</v>
      </c>
      <c r="G121" s="24">
        <v>46197</v>
      </c>
      <c r="H121" s="7" t="s">
        <v>14</v>
      </c>
    </row>
    <row r="122" spans="1:8" x14ac:dyDescent="0.35">
      <c r="A122" s="7">
        <v>138</v>
      </c>
      <c r="B122" s="7" t="s">
        <v>199</v>
      </c>
      <c r="C122" s="16" t="s">
        <v>53</v>
      </c>
      <c r="D122" s="7" t="s">
        <v>8</v>
      </c>
      <c r="E122" s="7" t="s">
        <v>170</v>
      </c>
      <c r="F122" s="7" t="s">
        <v>13</v>
      </c>
      <c r="G122" s="24"/>
      <c r="H122" s="10" t="s">
        <v>25</v>
      </c>
    </row>
    <row r="123" spans="1:8" x14ac:dyDescent="0.35">
      <c r="A123" s="7">
        <v>139</v>
      </c>
      <c r="B123" s="7" t="s">
        <v>200</v>
      </c>
      <c r="C123" s="7" t="s">
        <v>21</v>
      </c>
      <c r="D123" s="7" t="s">
        <v>8</v>
      </c>
      <c r="E123" s="7" t="s">
        <v>201</v>
      </c>
      <c r="F123" s="7" t="s">
        <v>13</v>
      </c>
      <c r="G123" s="24"/>
      <c r="H123" s="7" t="s">
        <v>14</v>
      </c>
    </row>
    <row r="124" spans="1:8" x14ac:dyDescent="0.35">
      <c r="A124" s="7">
        <v>140</v>
      </c>
      <c r="B124" s="7" t="s">
        <v>202</v>
      </c>
      <c r="C124" s="7" t="s">
        <v>45</v>
      </c>
      <c r="D124" s="7" t="s">
        <v>8</v>
      </c>
      <c r="E124" s="7" t="s">
        <v>112</v>
      </c>
      <c r="F124" s="7" t="s">
        <v>13</v>
      </c>
      <c r="G124" s="24"/>
      <c r="H124" s="10" t="s">
        <v>25</v>
      </c>
    </row>
    <row r="125" spans="1:8" x14ac:dyDescent="0.35">
      <c r="A125" s="7">
        <v>141</v>
      </c>
      <c r="B125" s="7" t="s">
        <v>203</v>
      </c>
      <c r="C125" s="7" t="s">
        <v>39</v>
      </c>
      <c r="D125" s="7" t="s">
        <v>9</v>
      </c>
      <c r="E125" s="7" t="s">
        <v>9</v>
      </c>
      <c r="F125" s="7" t="s">
        <v>13</v>
      </c>
      <c r="G125" s="24"/>
      <c r="H125" s="10"/>
    </row>
    <row r="126" spans="1:8" x14ac:dyDescent="0.35">
      <c r="A126" s="7">
        <v>142</v>
      </c>
      <c r="B126" s="7" t="s">
        <v>204</v>
      </c>
      <c r="C126" s="7" t="s">
        <v>21</v>
      </c>
      <c r="D126" s="7" t="s">
        <v>8</v>
      </c>
      <c r="E126" s="7" t="s">
        <v>193</v>
      </c>
      <c r="F126" s="7" t="s">
        <v>13</v>
      </c>
      <c r="G126" s="24"/>
      <c r="H126" s="7" t="s">
        <v>14</v>
      </c>
    </row>
    <row r="127" spans="1:8" x14ac:dyDescent="0.35">
      <c r="A127" s="7">
        <v>143</v>
      </c>
      <c r="B127" s="7" t="s">
        <v>205</v>
      </c>
      <c r="C127" s="7" t="s">
        <v>46</v>
      </c>
      <c r="D127" s="7" t="s">
        <v>8</v>
      </c>
      <c r="E127" s="7" t="s">
        <v>60</v>
      </c>
      <c r="F127" s="7" t="s">
        <v>13</v>
      </c>
      <c r="G127" s="24">
        <v>46196</v>
      </c>
      <c r="H127" s="10" t="s">
        <v>14</v>
      </c>
    </row>
    <row r="128" spans="1:8" x14ac:dyDescent="0.35">
      <c r="A128" s="7">
        <v>144</v>
      </c>
      <c r="B128" s="7" t="s">
        <v>206</v>
      </c>
      <c r="C128" s="7" t="s">
        <v>21</v>
      </c>
      <c r="D128" s="7" t="s">
        <v>8</v>
      </c>
      <c r="E128" s="7" t="s">
        <v>56</v>
      </c>
      <c r="F128" s="7" t="s">
        <v>13</v>
      </c>
      <c r="G128" s="24"/>
      <c r="H128" s="7" t="s">
        <v>14</v>
      </c>
    </row>
    <row r="129" spans="1:8" x14ac:dyDescent="0.35">
      <c r="A129" s="7">
        <v>145</v>
      </c>
      <c r="B129" s="7" t="s">
        <v>207</v>
      </c>
      <c r="C129" s="7" t="s">
        <v>46</v>
      </c>
      <c r="D129" s="7" t="s">
        <v>8</v>
      </c>
      <c r="E129" s="7" t="s">
        <v>60</v>
      </c>
      <c r="F129" s="7" t="s">
        <v>13</v>
      </c>
      <c r="G129" s="24"/>
      <c r="H129" s="10" t="s">
        <v>14</v>
      </c>
    </row>
    <row r="130" spans="1:8" x14ac:dyDescent="0.35">
      <c r="A130" s="7">
        <v>146</v>
      </c>
      <c r="B130" s="7" t="s">
        <v>208</v>
      </c>
      <c r="C130" s="7" t="s">
        <v>37</v>
      </c>
      <c r="D130" s="7" t="s">
        <v>9</v>
      </c>
      <c r="E130" s="7" t="s">
        <v>9</v>
      </c>
      <c r="F130" s="7" t="s">
        <v>13</v>
      </c>
      <c r="G130" s="24"/>
      <c r="H130" s="10"/>
    </row>
    <row r="131" spans="1:8" x14ac:dyDescent="0.35">
      <c r="A131" s="7">
        <v>147</v>
      </c>
      <c r="B131" s="7" t="s">
        <v>209</v>
      </c>
      <c r="C131" s="7" t="s">
        <v>57</v>
      </c>
      <c r="D131" s="7" t="s">
        <v>8</v>
      </c>
      <c r="E131" s="7" t="s">
        <v>112</v>
      </c>
      <c r="F131" s="7" t="s">
        <v>13</v>
      </c>
      <c r="G131" s="24"/>
      <c r="H131" s="10" t="s">
        <v>14</v>
      </c>
    </row>
    <row r="132" spans="1:8" x14ac:dyDescent="0.35">
      <c r="A132" s="7">
        <v>148</v>
      </c>
      <c r="B132" s="7" t="s">
        <v>210</v>
      </c>
      <c r="C132" s="7" t="s">
        <v>46</v>
      </c>
      <c r="D132" s="7" t="s">
        <v>8</v>
      </c>
      <c r="E132" s="7" t="s">
        <v>56</v>
      </c>
      <c r="F132" s="7" t="s">
        <v>13</v>
      </c>
      <c r="G132" s="24"/>
      <c r="H132" s="10" t="s">
        <v>14</v>
      </c>
    </row>
    <row r="133" spans="1:8" x14ac:dyDescent="0.35">
      <c r="A133" s="7">
        <v>149</v>
      </c>
      <c r="B133" s="7" t="s">
        <v>211</v>
      </c>
      <c r="C133" s="7" t="s">
        <v>23</v>
      </c>
      <c r="D133" s="7" t="s">
        <v>8</v>
      </c>
      <c r="E133" s="7" t="s">
        <v>56</v>
      </c>
      <c r="F133" s="7" t="s">
        <v>13</v>
      </c>
      <c r="G133" s="24"/>
      <c r="H133" s="10" t="s">
        <v>25</v>
      </c>
    </row>
    <row r="134" spans="1:8" x14ac:dyDescent="0.35">
      <c r="A134" s="7">
        <v>150</v>
      </c>
      <c r="B134" s="7" t="s">
        <v>212</v>
      </c>
      <c r="C134" s="16" t="s">
        <v>37</v>
      </c>
      <c r="D134" s="7" t="s">
        <v>8</v>
      </c>
      <c r="E134" s="7" t="s">
        <v>213</v>
      </c>
      <c r="F134" s="7" t="s">
        <v>13</v>
      </c>
      <c r="G134" s="24"/>
      <c r="H134" s="10" t="s">
        <v>25</v>
      </c>
    </row>
    <row r="135" spans="1:8" x14ac:dyDescent="0.35">
      <c r="A135" s="7">
        <v>151</v>
      </c>
      <c r="B135" s="7" t="s">
        <v>214</v>
      </c>
      <c r="C135" s="7" t="s">
        <v>46</v>
      </c>
      <c r="D135" s="7" t="s">
        <v>8</v>
      </c>
      <c r="E135" s="7" t="s">
        <v>60</v>
      </c>
      <c r="F135" s="7" t="s">
        <v>13</v>
      </c>
      <c r="G135" s="24"/>
      <c r="H135" s="10" t="s">
        <v>14</v>
      </c>
    </row>
    <row r="136" spans="1:8" x14ac:dyDescent="0.35">
      <c r="A136" s="7">
        <v>152</v>
      </c>
      <c r="B136" s="7" t="s">
        <v>215</v>
      </c>
      <c r="C136" s="7" t="s">
        <v>29</v>
      </c>
      <c r="D136" s="7" t="s">
        <v>8</v>
      </c>
      <c r="E136" s="7" t="s">
        <v>112</v>
      </c>
      <c r="F136" s="7" t="s">
        <v>13</v>
      </c>
      <c r="G136" s="24"/>
      <c r="H136" s="7" t="s">
        <v>14</v>
      </c>
    </row>
    <row r="137" spans="1:8" x14ac:dyDescent="0.35">
      <c r="A137" s="7">
        <v>153</v>
      </c>
      <c r="B137" s="7" t="s">
        <v>216</v>
      </c>
      <c r="C137" s="7" t="s">
        <v>29</v>
      </c>
      <c r="D137" s="7" t="s">
        <v>8</v>
      </c>
      <c r="E137" s="7" t="s">
        <v>56</v>
      </c>
      <c r="F137" s="7" t="s">
        <v>13</v>
      </c>
      <c r="G137" s="24"/>
      <c r="H137" s="7" t="s">
        <v>14</v>
      </c>
    </row>
    <row r="138" spans="1:8" x14ac:dyDescent="0.35">
      <c r="A138" s="7">
        <v>154</v>
      </c>
      <c r="B138" s="7" t="s">
        <v>217</v>
      </c>
      <c r="C138" s="7" t="s">
        <v>45</v>
      </c>
      <c r="D138" s="7" t="s">
        <v>9</v>
      </c>
      <c r="E138" s="7" t="s">
        <v>9</v>
      </c>
      <c r="F138" s="7" t="s">
        <v>13</v>
      </c>
      <c r="G138" s="24"/>
      <c r="H138" s="10"/>
    </row>
    <row r="139" spans="1:8" x14ac:dyDescent="0.35">
      <c r="A139" s="17">
        <v>155</v>
      </c>
      <c r="B139" s="17" t="s">
        <v>218</v>
      </c>
      <c r="C139" s="17" t="s">
        <v>37</v>
      </c>
      <c r="D139" s="17" t="s">
        <v>9</v>
      </c>
      <c r="E139" s="17" t="s">
        <v>9</v>
      </c>
      <c r="F139" s="17" t="s">
        <v>13</v>
      </c>
      <c r="G139" s="25">
        <v>46197</v>
      </c>
      <c r="H139" s="18"/>
    </row>
    <row r="140" spans="1:8" x14ac:dyDescent="0.35">
      <c r="A140" s="7">
        <v>156</v>
      </c>
      <c r="B140" s="7" t="s">
        <v>219</v>
      </c>
      <c r="C140" s="19" t="s">
        <v>65</v>
      </c>
      <c r="D140" s="7" t="s">
        <v>8</v>
      </c>
      <c r="E140" s="7" t="s">
        <v>56</v>
      </c>
      <c r="F140" s="7" t="s">
        <v>13</v>
      </c>
      <c r="G140" s="24"/>
      <c r="H140" s="10" t="s">
        <v>24</v>
      </c>
    </row>
    <row r="141" spans="1:8" x14ac:dyDescent="0.35">
      <c r="A141" s="7">
        <v>157</v>
      </c>
      <c r="B141" s="7" t="s">
        <v>220</v>
      </c>
      <c r="C141" s="7" t="s">
        <v>21</v>
      </c>
      <c r="D141" s="7" t="s">
        <v>9</v>
      </c>
      <c r="E141" s="7" t="s">
        <v>9</v>
      </c>
      <c r="F141" s="7" t="s">
        <v>13</v>
      </c>
      <c r="G141" s="24"/>
      <c r="H141" s="7" t="s">
        <v>14</v>
      </c>
    </row>
    <row r="142" spans="1:8" x14ac:dyDescent="0.35">
      <c r="A142" s="7">
        <v>158</v>
      </c>
      <c r="B142" s="7" t="s">
        <v>221</v>
      </c>
      <c r="C142" s="7" t="s">
        <v>21</v>
      </c>
      <c r="D142" s="7" t="s">
        <v>9</v>
      </c>
      <c r="E142" s="7" t="s">
        <v>9</v>
      </c>
      <c r="F142" s="7" t="s">
        <v>13</v>
      </c>
      <c r="G142" s="24"/>
      <c r="H142" s="7" t="s">
        <v>14</v>
      </c>
    </row>
    <row r="143" spans="1:8" x14ac:dyDescent="0.35">
      <c r="A143" s="7">
        <v>159</v>
      </c>
      <c r="B143" s="7" t="s">
        <v>222</v>
      </c>
      <c r="C143" s="16" t="s">
        <v>37</v>
      </c>
      <c r="D143" s="7" t="s">
        <v>8</v>
      </c>
      <c r="E143" s="7" t="s">
        <v>213</v>
      </c>
      <c r="F143" s="7" t="s">
        <v>13</v>
      </c>
      <c r="G143" s="24"/>
      <c r="H143" s="10" t="s">
        <v>25</v>
      </c>
    </row>
    <row r="144" spans="1:8" x14ac:dyDescent="0.35">
      <c r="A144" s="17">
        <v>160</v>
      </c>
      <c r="B144" s="17" t="s">
        <v>91</v>
      </c>
      <c r="C144" s="17" t="s">
        <v>46</v>
      </c>
      <c r="D144" s="17" t="s">
        <v>9</v>
      </c>
      <c r="E144" s="17" t="s">
        <v>9</v>
      </c>
      <c r="F144" s="17" t="s">
        <v>13</v>
      </c>
      <c r="G144" s="25">
        <v>46197</v>
      </c>
      <c r="H144" s="18"/>
    </row>
    <row r="145" spans="1:8" x14ac:dyDescent="0.35">
      <c r="A145" s="7">
        <v>161</v>
      </c>
      <c r="B145" s="7" t="s">
        <v>223</v>
      </c>
      <c r="C145" s="7" t="s">
        <v>21</v>
      </c>
      <c r="D145" s="7" t="s">
        <v>8</v>
      </c>
      <c r="E145" s="7" t="s">
        <v>60</v>
      </c>
      <c r="F145" s="7" t="s">
        <v>13</v>
      </c>
      <c r="G145" s="24"/>
      <c r="H145" s="7" t="s">
        <v>14</v>
      </c>
    </row>
    <row r="146" spans="1:8" x14ac:dyDescent="0.35">
      <c r="A146" s="7">
        <v>162</v>
      </c>
      <c r="B146" s="7" t="s">
        <v>224</v>
      </c>
      <c r="C146" s="7" t="s">
        <v>46</v>
      </c>
      <c r="D146" s="7" t="s">
        <v>8</v>
      </c>
      <c r="E146" s="7" t="s">
        <v>56</v>
      </c>
      <c r="F146" s="7" t="s">
        <v>13</v>
      </c>
      <c r="G146" s="24"/>
      <c r="H146" s="10" t="s">
        <v>14</v>
      </c>
    </row>
    <row r="147" spans="1:8" x14ac:dyDescent="0.35">
      <c r="A147" s="7">
        <v>163</v>
      </c>
      <c r="B147" s="7" t="s">
        <v>225</v>
      </c>
      <c r="C147" s="7" t="s">
        <v>37</v>
      </c>
      <c r="D147" s="7" t="s">
        <v>9</v>
      </c>
      <c r="E147" s="7" t="s">
        <v>9</v>
      </c>
      <c r="F147" s="7" t="s">
        <v>13</v>
      </c>
      <c r="G147" s="24"/>
      <c r="H147" s="10"/>
    </row>
    <row r="148" spans="1:8" x14ac:dyDescent="0.35">
      <c r="A148" s="7">
        <v>164</v>
      </c>
      <c r="B148" s="7" t="s">
        <v>226</v>
      </c>
      <c r="C148" s="7" t="s">
        <v>21</v>
      </c>
      <c r="D148" s="7" t="s">
        <v>8</v>
      </c>
      <c r="E148" s="7" t="s">
        <v>193</v>
      </c>
      <c r="F148" s="7" t="s">
        <v>13</v>
      </c>
      <c r="G148" s="24"/>
      <c r="H148" s="7" t="s">
        <v>14</v>
      </c>
    </row>
    <row r="149" spans="1:8" x14ac:dyDescent="0.35">
      <c r="A149" s="7">
        <v>165</v>
      </c>
      <c r="B149" s="11" t="s">
        <v>227</v>
      </c>
      <c r="C149" s="11" t="s">
        <v>21</v>
      </c>
      <c r="D149" s="11" t="s">
        <v>8</v>
      </c>
      <c r="E149" s="11" t="s">
        <v>228</v>
      </c>
      <c r="F149" s="7" t="s">
        <v>13</v>
      </c>
      <c r="G149" s="24"/>
      <c r="H149" s="7" t="s">
        <v>14</v>
      </c>
    </row>
    <row r="150" spans="1:8" x14ac:dyDescent="0.35">
      <c r="A150" s="7">
        <v>166</v>
      </c>
      <c r="B150" s="7" t="s">
        <v>229</v>
      </c>
      <c r="C150" s="7" t="s">
        <v>21</v>
      </c>
      <c r="D150" s="7" t="s">
        <v>8</v>
      </c>
      <c r="E150" s="7" t="s">
        <v>56</v>
      </c>
      <c r="F150" s="7" t="s">
        <v>13</v>
      </c>
      <c r="G150" s="24"/>
      <c r="H150" s="7" t="s">
        <v>14</v>
      </c>
    </row>
    <row r="151" spans="1:8" x14ac:dyDescent="0.35">
      <c r="A151" s="17">
        <v>167</v>
      </c>
      <c r="B151" s="17" t="s">
        <v>230</v>
      </c>
      <c r="C151" s="17" t="s">
        <v>46</v>
      </c>
      <c r="D151" s="17" t="s">
        <v>9</v>
      </c>
      <c r="E151" s="17" t="s">
        <v>9</v>
      </c>
      <c r="F151" s="17" t="s">
        <v>13</v>
      </c>
      <c r="G151" s="25">
        <v>46197</v>
      </c>
      <c r="H151" s="18"/>
    </row>
    <row r="152" spans="1:8" x14ac:dyDescent="0.35">
      <c r="A152" s="17">
        <v>168</v>
      </c>
      <c r="B152" s="17" t="s">
        <v>93</v>
      </c>
      <c r="C152" s="17" t="s">
        <v>37</v>
      </c>
      <c r="D152" s="17" t="s">
        <v>9</v>
      </c>
      <c r="E152" s="17" t="s">
        <v>9</v>
      </c>
      <c r="F152" s="17" t="s">
        <v>13</v>
      </c>
      <c r="G152" s="25"/>
      <c r="H152" s="18"/>
    </row>
    <row r="153" spans="1:8" x14ac:dyDescent="0.35">
      <c r="A153" s="7">
        <v>169</v>
      </c>
      <c r="B153" s="7" t="s">
        <v>231</v>
      </c>
      <c r="C153" s="7" t="s">
        <v>21</v>
      </c>
      <c r="D153" s="7" t="s">
        <v>8</v>
      </c>
      <c r="E153" s="7" t="s">
        <v>60</v>
      </c>
      <c r="F153" s="7" t="s">
        <v>13</v>
      </c>
      <c r="G153" s="24"/>
      <c r="H153" s="7" t="s">
        <v>14</v>
      </c>
    </row>
    <row r="154" spans="1:8" x14ac:dyDescent="0.35">
      <c r="A154" s="7">
        <v>170</v>
      </c>
      <c r="B154" s="7" t="s">
        <v>232</v>
      </c>
      <c r="C154" s="7" t="s">
        <v>46</v>
      </c>
      <c r="D154" s="7" t="s">
        <v>8</v>
      </c>
      <c r="E154" s="7" t="s">
        <v>233</v>
      </c>
      <c r="F154" s="7" t="s">
        <v>13</v>
      </c>
      <c r="G154" s="24"/>
      <c r="H154" s="10" t="s">
        <v>14</v>
      </c>
    </row>
    <row r="155" spans="1:8" x14ac:dyDescent="0.35">
      <c r="A155" s="7">
        <v>171</v>
      </c>
      <c r="B155" s="7" t="s">
        <v>234</v>
      </c>
      <c r="C155" s="7" t="s">
        <v>21</v>
      </c>
      <c r="D155" s="7" t="s">
        <v>8</v>
      </c>
      <c r="E155" s="7" t="s">
        <v>235</v>
      </c>
      <c r="F155" s="7" t="s">
        <v>13</v>
      </c>
      <c r="G155" s="24"/>
      <c r="H155" s="7" t="s">
        <v>14</v>
      </c>
    </row>
    <row r="156" spans="1:8" x14ac:dyDescent="0.35">
      <c r="A156" s="7">
        <v>172</v>
      </c>
      <c r="B156" s="7" t="s">
        <v>236</v>
      </c>
      <c r="C156" s="7" t="s">
        <v>23</v>
      </c>
      <c r="D156" s="7" t="s">
        <v>8</v>
      </c>
      <c r="E156" s="7" t="s">
        <v>56</v>
      </c>
      <c r="F156" s="7" t="s">
        <v>13</v>
      </c>
      <c r="G156" s="24"/>
      <c r="H156" s="10" t="s">
        <v>25</v>
      </c>
    </row>
    <row r="157" spans="1:8" x14ac:dyDescent="0.35">
      <c r="A157" s="7">
        <v>173</v>
      </c>
      <c r="B157" s="7" t="s">
        <v>237</v>
      </c>
      <c r="C157" s="7" t="s">
        <v>21</v>
      </c>
      <c r="D157" s="7" t="s">
        <v>8</v>
      </c>
      <c r="E157" s="7" t="s">
        <v>56</v>
      </c>
      <c r="F157" s="7" t="s">
        <v>13</v>
      </c>
      <c r="G157" s="24"/>
      <c r="H157" s="7" t="s">
        <v>14</v>
      </c>
    </row>
    <row r="158" spans="1:8" x14ac:dyDescent="0.35">
      <c r="A158" s="7">
        <v>174</v>
      </c>
      <c r="B158" s="7" t="s">
        <v>238</v>
      </c>
      <c r="C158" s="7" t="s">
        <v>21</v>
      </c>
      <c r="D158" s="7" t="s">
        <v>8</v>
      </c>
      <c r="E158" s="7" t="s">
        <v>60</v>
      </c>
      <c r="F158" s="7" t="s">
        <v>13</v>
      </c>
      <c r="G158" s="24"/>
      <c r="H158" s="7" t="s">
        <v>14</v>
      </c>
    </row>
    <row r="159" spans="1:8" x14ac:dyDescent="0.35">
      <c r="A159" s="7">
        <v>175</v>
      </c>
      <c r="B159" s="7" t="s">
        <v>239</v>
      </c>
      <c r="C159" s="7" t="s">
        <v>21</v>
      </c>
      <c r="D159" s="7" t="s">
        <v>8</v>
      </c>
      <c r="E159" s="7" t="s">
        <v>240</v>
      </c>
      <c r="F159" s="7" t="s">
        <v>13</v>
      </c>
      <c r="G159" s="24"/>
      <c r="H159" s="7" t="s">
        <v>14</v>
      </c>
    </row>
    <row r="160" spans="1:8" x14ac:dyDescent="0.35">
      <c r="A160" s="7">
        <v>176</v>
      </c>
      <c r="B160" s="7" t="s">
        <v>241</v>
      </c>
      <c r="C160" s="7" t="s">
        <v>21</v>
      </c>
      <c r="D160" s="7" t="s">
        <v>8</v>
      </c>
      <c r="E160" s="7" t="s">
        <v>242</v>
      </c>
      <c r="F160" s="7" t="s">
        <v>13</v>
      </c>
      <c r="G160" s="24"/>
      <c r="H160" s="7" t="s">
        <v>14</v>
      </c>
    </row>
    <row r="161" spans="1:10" x14ac:dyDescent="0.35">
      <c r="A161" s="7">
        <v>177</v>
      </c>
      <c r="B161" s="7" t="s">
        <v>243</v>
      </c>
      <c r="C161" s="7" t="s">
        <v>34</v>
      </c>
      <c r="D161" s="7" t="s">
        <v>9</v>
      </c>
      <c r="E161" s="7" t="s">
        <v>9</v>
      </c>
      <c r="F161" s="7" t="s">
        <v>13</v>
      </c>
      <c r="G161" s="24"/>
      <c r="H161" s="7" t="s">
        <v>14</v>
      </c>
    </row>
    <row r="162" spans="1:10" x14ac:dyDescent="0.35">
      <c r="A162" s="7">
        <v>178</v>
      </c>
      <c r="B162" s="7" t="s">
        <v>243</v>
      </c>
      <c r="C162" s="7" t="s">
        <v>34</v>
      </c>
      <c r="D162" s="7" t="s">
        <v>9</v>
      </c>
      <c r="E162" s="7" t="s">
        <v>9</v>
      </c>
      <c r="F162" s="7" t="s">
        <v>13</v>
      </c>
      <c r="G162" s="24"/>
      <c r="H162" s="7" t="s">
        <v>14</v>
      </c>
    </row>
    <row r="163" spans="1:10" x14ac:dyDescent="0.35">
      <c r="A163" s="7">
        <v>179</v>
      </c>
      <c r="B163" s="7" t="s">
        <v>243</v>
      </c>
      <c r="C163" s="7" t="s">
        <v>34</v>
      </c>
      <c r="D163" s="7" t="s">
        <v>9</v>
      </c>
      <c r="E163" s="7" t="s">
        <v>9</v>
      </c>
      <c r="F163" s="7" t="s">
        <v>13</v>
      </c>
      <c r="G163" s="24"/>
      <c r="H163" s="7" t="s">
        <v>14</v>
      </c>
    </row>
    <row r="164" spans="1:10" x14ac:dyDescent="0.35">
      <c r="A164" s="7">
        <v>180</v>
      </c>
      <c r="B164" s="7" t="s">
        <v>243</v>
      </c>
      <c r="C164" s="7" t="s">
        <v>34</v>
      </c>
      <c r="D164" s="7" t="s">
        <v>9</v>
      </c>
      <c r="E164" s="7" t="s">
        <v>9</v>
      </c>
      <c r="F164" s="7" t="s">
        <v>13</v>
      </c>
      <c r="G164" s="24"/>
      <c r="H164" s="7" t="s">
        <v>14</v>
      </c>
    </row>
    <row r="165" spans="1:10" x14ac:dyDescent="0.35">
      <c r="A165" s="7">
        <v>181</v>
      </c>
      <c r="B165" s="7" t="s">
        <v>243</v>
      </c>
      <c r="C165" s="7" t="s">
        <v>34</v>
      </c>
      <c r="D165" s="7" t="s">
        <v>9</v>
      </c>
      <c r="E165" s="7" t="s">
        <v>9</v>
      </c>
      <c r="F165" s="7" t="s">
        <v>13</v>
      </c>
      <c r="G165" s="24"/>
      <c r="H165" s="7" t="s">
        <v>14</v>
      </c>
    </row>
    <row r="166" spans="1:10" x14ac:dyDescent="0.35">
      <c r="A166" s="7">
        <v>182</v>
      </c>
      <c r="B166" s="7" t="s">
        <v>243</v>
      </c>
      <c r="C166" s="7" t="s">
        <v>34</v>
      </c>
      <c r="D166" s="7" t="s">
        <v>9</v>
      </c>
      <c r="E166" s="7" t="s">
        <v>9</v>
      </c>
      <c r="F166" s="7" t="s">
        <v>13</v>
      </c>
      <c r="G166" s="24"/>
      <c r="H166" s="7" t="s">
        <v>14</v>
      </c>
    </row>
    <row r="167" spans="1:10" x14ac:dyDescent="0.35">
      <c r="A167" s="7">
        <v>183</v>
      </c>
      <c r="B167" s="7" t="s">
        <v>243</v>
      </c>
      <c r="C167" s="7" t="s">
        <v>34</v>
      </c>
      <c r="D167" s="7" t="s">
        <v>9</v>
      </c>
      <c r="E167" s="7" t="s">
        <v>9</v>
      </c>
      <c r="F167" s="7" t="s">
        <v>13</v>
      </c>
      <c r="G167" s="24"/>
      <c r="H167" s="7" t="s">
        <v>14</v>
      </c>
      <c r="J167">
        <f>200*48</f>
        <v>9600</v>
      </c>
    </row>
    <row r="168" spans="1:10" x14ac:dyDescent="0.35">
      <c r="A168" s="7">
        <v>184</v>
      </c>
      <c r="B168" s="7" t="s">
        <v>243</v>
      </c>
      <c r="C168" s="7" t="s">
        <v>34</v>
      </c>
      <c r="D168" s="7" t="s">
        <v>9</v>
      </c>
      <c r="E168" s="7" t="s">
        <v>9</v>
      </c>
      <c r="F168" s="7" t="s">
        <v>13</v>
      </c>
      <c r="G168" s="24"/>
      <c r="H168" s="7" t="s">
        <v>14</v>
      </c>
    </row>
    <row r="169" spans="1:10" x14ac:dyDescent="0.35">
      <c r="A169" s="7">
        <v>185</v>
      </c>
      <c r="B169" s="7" t="s">
        <v>243</v>
      </c>
      <c r="C169" s="7" t="s">
        <v>34</v>
      </c>
      <c r="D169" s="7" t="s">
        <v>9</v>
      </c>
      <c r="E169" s="7" t="s">
        <v>9</v>
      </c>
      <c r="F169" s="7" t="s">
        <v>13</v>
      </c>
      <c r="G169" s="24"/>
      <c r="H169" s="7" t="s">
        <v>14</v>
      </c>
    </row>
    <row r="170" spans="1:10" x14ac:dyDescent="0.35">
      <c r="A170" s="7">
        <v>186</v>
      </c>
      <c r="B170" s="7" t="s">
        <v>243</v>
      </c>
      <c r="C170" s="7" t="s">
        <v>42</v>
      </c>
      <c r="D170" s="7" t="s">
        <v>9</v>
      </c>
      <c r="E170" s="7" t="s">
        <v>9</v>
      </c>
      <c r="F170" s="7" t="s">
        <v>13</v>
      </c>
      <c r="G170" s="24"/>
      <c r="H170" s="10"/>
    </row>
    <row r="171" spans="1:10" x14ac:dyDescent="0.35">
      <c r="A171" s="7">
        <v>187</v>
      </c>
      <c r="B171" s="7" t="s">
        <v>243</v>
      </c>
      <c r="C171" s="7" t="s">
        <v>42</v>
      </c>
      <c r="D171" s="7" t="s">
        <v>9</v>
      </c>
      <c r="E171" s="7" t="s">
        <v>9</v>
      </c>
      <c r="F171" s="7" t="s">
        <v>13</v>
      </c>
      <c r="G171" s="24"/>
      <c r="H171" s="10"/>
    </row>
    <row r="172" spans="1:10" x14ac:dyDescent="0.35">
      <c r="A172" s="7">
        <v>188</v>
      </c>
      <c r="B172" s="7" t="s">
        <v>243</v>
      </c>
      <c r="C172" s="7" t="s">
        <v>42</v>
      </c>
      <c r="D172" s="7" t="s">
        <v>9</v>
      </c>
      <c r="E172" s="7" t="s">
        <v>9</v>
      </c>
      <c r="F172" s="7" t="s">
        <v>13</v>
      </c>
      <c r="G172" s="24"/>
      <c r="H172" s="10"/>
    </row>
    <row r="173" spans="1:10" x14ac:dyDescent="0.35">
      <c r="A173" s="7">
        <v>189</v>
      </c>
      <c r="B173" s="7" t="s">
        <v>243</v>
      </c>
      <c r="C173" s="7" t="s">
        <v>42</v>
      </c>
      <c r="D173" s="7" t="s">
        <v>9</v>
      </c>
      <c r="E173" s="7" t="s">
        <v>9</v>
      </c>
      <c r="F173" s="7" t="s">
        <v>13</v>
      </c>
      <c r="G173" s="24"/>
      <c r="H173" s="10"/>
    </row>
    <row r="174" spans="1:10" x14ac:dyDescent="0.35">
      <c r="A174" s="7">
        <v>190</v>
      </c>
      <c r="B174" s="7" t="s">
        <v>243</v>
      </c>
      <c r="C174" s="7" t="s">
        <v>42</v>
      </c>
      <c r="D174" s="7" t="s">
        <v>9</v>
      </c>
      <c r="E174" s="7" t="s">
        <v>9</v>
      </c>
      <c r="F174" s="7" t="s">
        <v>13</v>
      </c>
      <c r="G174" s="24"/>
      <c r="H174" s="10"/>
    </row>
    <row r="175" spans="1:10" x14ac:dyDescent="0.35">
      <c r="A175" s="7">
        <v>191</v>
      </c>
      <c r="B175" s="7" t="s">
        <v>243</v>
      </c>
      <c r="C175" s="7" t="s">
        <v>42</v>
      </c>
      <c r="D175" s="7" t="s">
        <v>9</v>
      </c>
      <c r="E175" s="7" t="s">
        <v>9</v>
      </c>
      <c r="F175" s="7" t="s">
        <v>13</v>
      </c>
      <c r="G175" s="24"/>
      <c r="H175" s="10"/>
    </row>
    <row r="176" spans="1:10" x14ac:dyDescent="0.35">
      <c r="A176" s="7">
        <v>192</v>
      </c>
      <c r="B176" s="7" t="s">
        <v>243</v>
      </c>
      <c r="C176" s="7" t="s">
        <v>42</v>
      </c>
      <c r="D176" s="7" t="s">
        <v>9</v>
      </c>
      <c r="E176" s="7" t="s">
        <v>9</v>
      </c>
      <c r="F176" s="7" t="s">
        <v>13</v>
      </c>
      <c r="G176" s="24"/>
      <c r="H176" s="10"/>
    </row>
    <row r="177" spans="1:11" x14ac:dyDescent="0.35">
      <c r="A177" s="7">
        <v>193</v>
      </c>
      <c r="B177" s="7" t="s">
        <v>243</v>
      </c>
      <c r="C177" s="7" t="s">
        <v>42</v>
      </c>
      <c r="D177" s="7" t="s">
        <v>9</v>
      </c>
      <c r="E177" s="7" t="s">
        <v>9</v>
      </c>
      <c r="F177" s="7" t="s">
        <v>13</v>
      </c>
      <c r="G177" s="24"/>
      <c r="H177" s="10"/>
      <c r="J177">
        <v>800</v>
      </c>
      <c r="K177">
        <v>0.27</v>
      </c>
    </row>
    <row r="178" spans="1:11" x14ac:dyDescent="0.35">
      <c r="A178" s="7">
        <v>194</v>
      </c>
      <c r="B178" s="7" t="s">
        <v>243</v>
      </c>
      <c r="C178" s="7" t="s">
        <v>42</v>
      </c>
      <c r="D178" s="7" t="s">
        <v>9</v>
      </c>
      <c r="E178" s="7" t="s">
        <v>9</v>
      </c>
      <c r="F178" s="7" t="s">
        <v>13</v>
      </c>
      <c r="G178" s="24"/>
      <c r="H178" s="10"/>
      <c r="J178">
        <v>1190</v>
      </c>
      <c r="K178" t="s">
        <v>244</v>
      </c>
    </row>
    <row r="179" spans="1:11" x14ac:dyDescent="0.35">
      <c r="A179" s="7">
        <v>195</v>
      </c>
      <c r="B179" s="7" t="s">
        <v>243</v>
      </c>
      <c r="C179" s="7" t="s">
        <v>42</v>
      </c>
      <c r="D179" s="7" t="s">
        <v>9</v>
      </c>
      <c r="E179" s="7" t="s">
        <v>9</v>
      </c>
      <c r="F179" s="7" t="s">
        <v>13</v>
      </c>
      <c r="G179" s="24"/>
      <c r="H179" s="10"/>
      <c r="K179">
        <f>J178*K177</f>
        <v>321.3</v>
      </c>
    </row>
    <row r="180" spans="1:11" x14ac:dyDescent="0.35">
      <c r="A180" s="7">
        <v>196</v>
      </c>
      <c r="B180" s="7" t="s">
        <v>243</v>
      </c>
      <c r="C180" s="7" t="s">
        <v>42</v>
      </c>
      <c r="D180" s="7" t="s">
        <v>9</v>
      </c>
      <c r="E180" s="7" t="s">
        <v>9</v>
      </c>
      <c r="F180" s="7" t="s">
        <v>13</v>
      </c>
      <c r="G180" s="24"/>
      <c r="H180" s="10"/>
      <c r="K180">
        <f>K179/J177</f>
        <v>0.40162500000000001</v>
      </c>
    </row>
    <row r="181" spans="1:11" x14ac:dyDescent="0.35">
      <c r="A181" s="7">
        <v>197</v>
      </c>
      <c r="B181" s="7" t="s">
        <v>243</v>
      </c>
      <c r="C181" s="7" t="s">
        <v>29</v>
      </c>
      <c r="D181" s="7" t="s">
        <v>9</v>
      </c>
      <c r="E181" s="7" t="s">
        <v>9</v>
      </c>
      <c r="F181" s="7" t="s">
        <v>13</v>
      </c>
      <c r="G181" s="24"/>
      <c r="H181" s="7" t="s">
        <v>14</v>
      </c>
    </row>
    <row r="182" spans="1:11" x14ac:dyDescent="0.35">
      <c r="A182" s="7">
        <v>198</v>
      </c>
      <c r="B182" s="7" t="s">
        <v>243</v>
      </c>
      <c r="C182" s="7" t="s">
        <v>29</v>
      </c>
      <c r="D182" s="7" t="s">
        <v>9</v>
      </c>
      <c r="E182" s="7" t="s">
        <v>9</v>
      </c>
      <c r="F182" s="7" t="s">
        <v>13</v>
      </c>
      <c r="G182" s="24"/>
      <c r="H182" s="7" t="s">
        <v>14</v>
      </c>
    </row>
    <row r="183" spans="1:11" x14ac:dyDescent="0.35">
      <c r="A183" s="7">
        <v>199</v>
      </c>
      <c r="B183" s="7" t="s">
        <v>243</v>
      </c>
      <c r="C183" s="7" t="s">
        <v>29</v>
      </c>
      <c r="D183" s="7" t="s">
        <v>9</v>
      </c>
      <c r="E183" s="7" t="s">
        <v>9</v>
      </c>
      <c r="F183" s="7" t="s">
        <v>13</v>
      </c>
      <c r="G183" s="24"/>
      <c r="H183" s="7" t="s">
        <v>14</v>
      </c>
    </row>
    <row r="184" spans="1:11" x14ac:dyDescent="0.35">
      <c r="A184" s="7">
        <v>200</v>
      </c>
      <c r="B184" s="7" t="s">
        <v>243</v>
      </c>
      <c r="C184" s="7" t="s">
        <v>29</v>
      </c>
      <c r="D184" s="7" t="s">
        <v>9</v>
      </c>
      <c r="E184" s="7" t="s">
        <v>9</v>
      </c>
      <c r="F184" s="7" t="s">
        <v>13</v>
      </c>
      <c r="G184" s="24"/>
      <c r="H184" s="7" t="s">
        <v>14</v>
      </c>
    </row>
    <row r="185" spans="1:11" x14ac:dyDescent="0.35">
      <c r="A185" s="7">
        <v>201</v>
      </c>
      <c r="B185" s="7" t="s">
        <v>243</v>
      </c>
      <c r="C185" s="7" t="s">
        <v>29</v>
      </c>
      <c r="D185" s="7" t="s">
        <v>9</v>
      </c>
      <c r="E185" s="7" t="s">
        <v>9</v>
      </c>
      <c r="F185" s="7" t="s">
        <v>13</v>
      </c>
      <c r="G185" s="24"/>
      <c r="H185" s="7" t="s">
        <v>14</v>
      </c>
    </row>
    <row r="186" spans="1:11" x14ac:dyDescent="0.35">
      <c r="A186" s="7">
        <v>202</v>
      </c>
      <c r="B186" s="7" t="s">
        <v>243</v>
      </c>
      <c r="C186" s="7" t="s">
        <v>29</v>
      </c>
      <c r="D186" s="7" t="s">
        <v>9</v>
      </c>
      <c r="E186" s="7" t="s">
        <v>9</v>
      </c>
      <c r="F186" s="7" t="s">
        <v>13</v>
      </c>
      <c r="G186" s="24"/>
      <c r="H186" s="7" t="s">
        <v>14</v>
      </c>
    </row>
    <row r="187" spans="1:11" x14ac:dyDescent="0.35">
      <c r="A187" s="7">
        <v>203</v>
      </c>
      <c r="B187" s="7" t="s">
        <v>243</v>
      </c>
      <c r="C187" s="7" t="s">
        <v>29</v>
      </c>
      <c r="D187" s="7" t="s">
        <v>9</v>
      </c>
      <c r="E187" s="7" t="s">
        <v>9</v>
      </c>
      <c r="F187" s="7" t="s">
        <v>13</v>
      </c>
      <c r="G187" s="24"/>
      <c r="H187" s="7" t="s">
        <v>14</v>
      </c>
    </row>
    <row r="188" spans="1:11" x14ac:dyDescent="0.35">
      <c r="A188" s="7">
        <v>204</v>
      </c>
      <c r="B188" s="7" t="s">
        <v>243</v>
      </c>
      <c r="C188" s="7" t="s">
        <v>29</v>
      </c>
      <c r="D188" s="7" t="s">
        <v>9</v>
      </c>
      <c r="E188" s="7" t="s">
        <v>9</v>
      </c>
      <c r="F188" s="7" t="s">
        <v>13</v>
      </c>
      <c r="G188" s="24"/>
      <c r="H188" s="7" t="s">
        <v>14</v>
      </c>
    </row>
    <row r="189" spans="1:11" x14ac:dyDescent="0.35">
      <c r="A189" s="7">
        <v>205</v>
      </c>
      <c r="B189" s="7" t="s">
        <v>243</v>
      </c>
      <c r="C189" s="7" t="s">
        <v>29</v>
      </c>
      <c r="D189" s="7" t="s">
        <v>9</v>
      </c>
      <c r="E189" s="7" t="s">
        <v>9</v>
      </c>
      <c r="F189" s="7" t="s">
        <v>13</v>
      </c>
      <c r="G189" s="24"/>
      <c r="H189" s="7" t="s">
        <v>14</v>
      </c>
    </row>
    <row r="190" spans="1:11" x14ac:dyDescent="0.35">
      <c r="A190" s="7">
        <v>206</v>
      </c>
      <c r="B190" s="7" t="s">
        <v>243</v>
      </c>
      <c r="C190" s="7" t="s">
        <v>34</v>
      </c>
      <c r="D190" s="7" t="s">
        <v>9</v>
      </c>
      <c r="E190" s="7" t="s">
        <v>9</v>
      </c>
      <c r="F190" s="7" t="s">
        <v>13</v>
      </c>
      <c r="G190" s="24"/>
      <c r="H190" s="7" t="s">
        <v>14</v>
      </c>
    </row>
    <row r="191" spans="1:11" x14ac:dyDescent="0.35">
      <c r="A191" s="7">
        <v>207</v>
      </c>
      <c r="B191" s="7" t="s">
        <v>243</v>
      </c>
      <c r="C191" s="7" t="s">
        <v>34</v>
      </c>
      <c r="D191" s="7" t="s">
        <v>9</v>
      </c>
      <c r="E191" s="7" t="s">
        <v>9</v>
      </c>
      <c r="F191" s="7" t="s">
        <v>13</v>
      </c>
      <c r="G191" s="24"/>
      <c r="H191" s="7" t="s">
        <v>14</v>
      </c>
    </row>
    <row r="192" spans="1:11" x14ac:dyDescent="0.35">
      <c r="A192" s="7">
        <v>208</v>
      </c>
      <c r="B192" s="7" t="s">
        <v>243</v>
      </c>
      <c r="C192" s="7" t="s">
        <v>34</v>
      </c>
      <c r="D192" s="7" t="s">
        <v>9</v>
      </c>
      <c r="E192" s="7" t="s">
        <v>9</v>
      </c>
      <c r="F192" s="7" t="s">
        <v>13</v>
      </c>
      <c r="G192" s="24"/>
      <c r="H192" s="7" t="s">
        <v>14</v>
      </c>
    </row>
    <row r="193" spans="1:8" x14ac:dyDescent="0.35">
      <c r="A193" s="7">
        <v>209</v>
      </c>
      <c r="B193" s="7" t="s">
        <v>243</v>
      </c>
      <c r="C193" s="7" t="s">
        <v>34</v>
      </c>
      <c r="D193" s="7" t="s">
        <v>9</v>
      </c>
      <c r="E193" s="7" t="s">
        <v>9</v>
      </c>
      <c r="F193" s="7" t="s">
        <v>13</v>
      </c>
      <c r="G193" s="24"/>
      <c r="H193" s="7" t="s">
        <v>14</v>
      </c>
    </row>
    <row r="194" spans="1:8" x14ac:dyDescent="0.35">
      <c r="A194" s="7">
        <v>210</v>
      </c>
      <c r="B194" s="7" t="s">
        <v>243</v>
      </c>
      <c r="C194" s="7" t="s">
        <v>34</v>
      </c>
      <c r="D194" s="7" t="s">
        <v>9</v>
      </c>
      <c r="E194" s="7" t="s">
        <v>9</v>
      </c>
      <c r="F194" s="7" t="s">
        <v>13</v>
      </c>
      <c r="G194" s="24"/>
      <c r="H194" s="7" t="s">
        <v>14</v>
      </c>
    </row>
    <row r="195" spans="1:8" x14ac:dyDescent="0.35">
      <c r="A195" s="7">
        <v>211</v>
      </c>
      <c r="B195" s="7" t="s">
        <v>243</v>
      </c>
      <c r="C195" s="7" t="s">
        <v>34</v>
      </c>
      <c r="D195" s="7" t="s">
        <v>9</v>
      </c>
      <c r="E195" s="7" t="s">
        <v>9</v>
      </c>
      <c r="F195" s="7" t="s">
        <v>13</v>
      </c>
      <c r="G195" s="24"/>
      <c r="H195" s="7" t="s">
        <v>14</v>
      </c>
    </row>
    <row r="196" spans="1:8" x14ac:dyDescent="0.35">
      <c r="A196" s="7">
        <v>212</v>
      </c>
      <c r="B196" s="7" t="s">
        <v>243</v>
      </c>
      <c r="C196" s="7" t="s">
        <v>92</v>
      </c>
      <c r="D196" s="7" t="s">
        <v>9</v>
      </c>
      <c r="E196" s="7" t="s">
        <v>9</v>
      </c>
      <c r="F196" s="7" t="s">
        <v>13</v>
      </c>
      <c r="G196" s="24"/>
      <c r="H196" s="10"/>
    </row>
    <row r="197" spans="1:8" x14ac:dyDescent="0.35">
      <c r="A197" s="7">
        <v>213</v>
      </c>
      <c r="B197" s="7" t="s">
        <v>171</v>
      </c>
      <c r="C197" s="7" t="s">
        <v>23</v>
      </c>
      <c r="D197" s="7" t="s">
        <v>9</v>
      </c>
      <c r="E197" s="7" t="s">
        <v>9</v>
      </c>
      <c r="F197" s="7" t="s">
        <v>40</v>
      </c>
      <c r="G197" s="24"/>
      <c r="H197" s="10"/>
    </row>
    <row r="198" spans="1:8" x14ac:dyDescent="0.35">
      <c r="A198" s="7">
        <v>214</v>
      </c>
      <c r="B198" s="7" t="s">
        <v>171</v>
      </c>
      <c r="C198" s="7" t="s">
        <v>23</v>
      </c>
      <c r="D198" s="7" t="s">
        <v>9</v>
      </c>
      <c r="E198" s="7" t="s">
        <v>9</v>
      </c>
      <c r="F198" s="7" t="s">
        <v>40</v>
      </c>
      <c r="G198" s="24"/>
      <c r="H198" s="10"/>
    </row>
    <row r="199" spans="1:8" x14ac:dyDescent="0.35">
      <c r="A199" s="7">
        <v>215</v>
      </c>
      <c r="B199" s="7" t="s">
        <v>171</v>
      </c>
      <c r="C199" s="7" t="s">
        <v>23</v>
      </c>
      <c r="D199" s="7" t="s">
        <v>9</v>
      </c>
      <c r="E199" s="7" t="s">
        <v>9</v>
      </c>
      <c r="F199" s="7" t="s">
        <v>40</v>
      </c>
      <c r="G199" s="24">
        <v>46198</v>
      </c>
      <c r="H199" s="10"/>
    </row>
    <row r="200" spans="1:8" x14ac:dyDescent="0.35">
      <c r="A200" s="7">
        <v>216</v>
      </c>
      <c r="B200" s="7" t="s">
        <v>171</v>
      </c>
      <c r="C200" s="7" t="s">
        <v>23</v>
      </c>
      <c r="D200" s="7" t="s">
        <v>9</v>
      </c>
      <c r="E200" s="7" t="s">
        <v>9</v>
      </c>
      <c r="F200" s="7" t="s">
        <v>40</v>
      </c>
      <c r="G200" s="24">
        <v>46198</v>
      </c>
      <c r="H200" s="10"/>
    </row>
    <row r="201" spans="1:8" x14ac:dyDescent="0.35">
      <c r="A201" s="7">
        <v>217</v>
      </c>
      <c r="B201" s="7" t="s">
        <v>171</v>
      </c>
      <c r="C201" s="7" t="s">
        <v>21</v>
      </c>
      <c r="D201" s="7" t="s">
        <v>9</v>
      </c>
      <c r="E201" s="7" t="s">
        <v>9</v>
      </c>
      <c r="F201" s="7" t="s">
        <v>40</v>
      </c>
      <c r="G201" s="24">
        <v>46198</v>
      </c>
      <c r="H201" s="7" t="s">
        <v>14</v>
      </c>
    </row>
  </sheetData>
  <autoFilter ref="A1:H201" xr:uid="{CDCFEEB1-7E28-4F46-A1F7-401C6C5E3FCF}">
    <sortState xmlns:xlrd2="http://schemas.microsoft.com/office/spreadsheetml/2017/richdata2" ref="A2:H201">
      <sortCondition ref="A2:A201"/>
    </sortState>
  </autoFilter>
  <pageMargins left="0.7" right="0.7" top="0.75" bottom="0.75" header="0.3" footer="0.3"/>
  <pageSetup paperSize="9" scale="51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7DD1-960A-4724-80E5-3343799CA2D7}">
  <dimension ref="A2:T93"/>
  <sheetViews>
    <sheetView showGridLines="0" zoomScale="64" zoomScaleNormal="64" workbookViewId="0">
      <pane xSplit="1" ySplit="2" topLeftCell="B11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RowHeight="14.5" x14ac:dyDescent="0.35"/>
  <cols>
    <col min="1" max="1" width="10.453125" bestFit="1" customWidth="1"/>
    <col min="2" max="2" width="14.453125" customWidth="1"/>
    <col min="3" max="3" width="12.54296875" bestFit="1" customWidth="1"/>
    <col min="4" max="4" width="8.81640625" customWidth="1"/>
    <col min="6" max="6" width="17" hidden="1" customWidth="1"/>
    <col min="7" max="7" width="4.1796875" hidden="1" customWidth="1"/>
    <col min="8" max="8" width="8.7265625" hidden="1" customWidth="1"/>
    <col min="10" max="10" width="13.453125" customWidth="1"/>
    <col min="11" max="11" width="5.26953125" bestFit="1" customWidth="1"/>
    <col min="12" max="12" width="6.7265625" bestFit="1" customWidth="1"/>
    <col min="13" max="13" width="5.26953125" bestFit="1" customWidth="1"/>
    <col min="14" max="14" width="6.7265625" bestFit="1" customWidth="1"/>
    <col min="15" max="15" width="5.26953125" bestFit="1" customWidth="1"/>
    <col min="16" max="16" width="6.7265625" bestFit="1" customWidth="1"/>
    <col min="17" max="17" width="5.26953125" bestFit="1" customWidth="1"/>
    <col min="18" max="18" width="6.7265625" bestFit="1" customWidth="1"/>
    <col min="19" max="19" width="5.26953125" bestFit="1" customWidth="1"/>
    <col min="20" max="20" width="8.7265625" customWidth="1"/>
    <col min="22" max="22" width="13.7265625" bestFit="1" customWidth="1"/>
    <col min="23" max="23" width="16.81640625" bestFit="1" customWidth="1"/>
    <col min="24" max="24" width="6.81640625" bestFit="1" customWidth="1"/>
    <col min="25" max="25" width="14.81640625" bestFit="1" customWidth="1"/>
    <col min="26" max="26" width="7.1796875" bestFit="1" customWidth="1"/>
    <col min="27" max="27" width="11" bestFit="1" customWidth="1"/>
    <col min="28" max="28" width="11.1796875" bestFit="1" customWidth="1"/>
    <col min="16383" max="16383" width="8.7265625" bestFit="1" customWidth="1"/>
    <col min="16384" max="16384" width="8.7265625" customWidth="1"/>
  </cols>
  <sheetData>
    <row r="2" spans="1:6" ht="15.4" customHeight="1" x14ac:dyDescent="0.35">
      <c r="A2" s="1" t="s">
        <v>245</v>
      </c>
      <c r="B2" s="1" t="s">
        <v>246</v>
      </c>
      <c r="C2" s="1" t="s">
        <v>247</v>
      </c>
      <c r="D2" s="1" t="s">
        <v>248</v>
      </c>
      <c r="E2" s="1" t="s">
        <v>249</v>
      </c>
      <c r="F2" s="2" t="s">
        <v>250</v>
      </c>
    </row>
    <row r="3" spans="1:6" hidden="1" x14ac:dyDescent="0.35">
      <c r="A3" s="3">
        <v>46195</v>
      </c>
      <c r="B3">
        <v>61</v>
      </c>
      <c r="C3">
        <v>88</v>
      </c>
      <c r="D3">
        <v>48</v>
      </c>
      <c r="E3">
        <f t="shared" ref="E3:E11" si="0">SUM(B3:D3)</f>
        <v>197</v>
      </c>
      <c r="F3" s="2"/>
    </row>
    <row r="4" spans="1:6" hidden="1" x14ac:dyDescent="0.35">
      <c r="A4" s="3">
        <v>46196</v>
      </c>
      <c r="B4">
        <f>61-2</f>
        <v>59</v>
      </c>
      <c r="C4">
        <v>88</v>
      </c>
      <c r="D4">
        <v>48</v>
      </c>
      <c r="E4">
        <f t="shared" si="0"/>
        <v>195</v>
      </c>
    </row>
    <row r="5" spans="1:6" hidden="1" x14ac:dyDescent="0.35">
      <c r="A5" s="3">
        <v>46197</v>
      </c>
      <c r="B5">
        <f>B4-4</f>
        <v>55</v>
      </c>
      <c r="C5">
        <f>C4-4</f>
        <v>84</v>
      </c>
      <c r="D5">
        <v>48</v>
      </c>
      <c r="E5">
        <f t="shared" si="0"/>
        <v>187</v>
      </c>
    </row>
    <row r="6" spans="1:6" hidden="1" x14ac:dyDescent="0.35">
      <c r="A6" s="3">
        <v>46198</v>
      </c>
      <c r="B6">
        <v>76</v>
      </c>
      <c r="C6">
        <v>59</v>
      </c>
      <c r="D6">
        <f>D5</f>
        <v>48</v>
      </c>
      <c r="E6">
        <f t="shared" si="0"/>
        <v>183</v>
      </c>
    </row>
    <row r="7" spans="1:6" hidden="1" x14ac:dyDescent="0.35">
      <c r="A7" s="3">
        <v>46199</v>
      </c>
      <c r="B7">
        <v>71</v>
      </c>
      <c r="C7">
        <v>58</v>
      </c>
      <c r="D7">
        <v>48</v>
      </c>
      <c r="E7">
        <f t="shared" si="0"/>
        <v>177</v>
      </c>
    </row>
    <row r="8" spans="1:6" hidden="1" x14ac:dyDescent="0.35">
      <c r="A8" s="3">
        <v>46200</v>
      </c>
      <c r="B8">
        <v>68</v>
      </c>
      <c r="C8">
        <v>58</v>
      </c>
      <c r="D8">
        <v>48</v>
      </c>
      <c r="E8">
        <f t="shared" si="0"/>
        <v>174</v>
      </c>
    </row>
    <row r="9" spans="1:6" hidden="1" x14ac:dyDescent="0.35">
      <c r="A9" s="3">
        <v>46202</v>
      </c>
      <c r="B9">
        <v>39</v>
      </c>
      <c r="C9">
        <v>49</v>
      </c>
      <c r="D9">
        <v>48</v>
      </c>
      <c r="E9">
        <f t="shared" si="0"/>
        <v>136</v>
      </c>
    </row>
    <row r="10" spans="1:6" hidden="1" x14ac:dyDescent="0.35">
      <c r="A10" s="3">
        <v>46203</v>
      </c>
      <c r="B10">
        <v>37</v>
      </c>
      <c r="C10">
        <v>46</v>
      </c>
      <c r="D10">
        <v>46</v>
      </c>
      <c r="E10">
        <f t="shared" si="0"/>
        <v>129</v>
      </c>
    </row>
    <row r="11" spans="1:6" x14ac:dyDescent="0.35">
      <c r="A11" s="3">
        <v>46204</v>
      </c>
      <c r="B11">
        <v>2</v>
      </c>
      <c r="C11">
        <v>2</v>
      </c>
      <c r="D11">
        <v>0</v>
      </c>
      <c r="E11">
        <f t="shared" si="0"/>
        <v>4</v>
      </c>
    </row>
    <row r="12" spans="1:6" x14ac:dyDescent="0.35">
      <c r="A12" s="3">
        <v>46205</v>
      </c>
    </row>
    <row r="13" spans="1:6" x14ac:dyDescent="0.35">
      <c r="A13" s="3">
        <v>46206</v>
      </c>
    </row>
    <row r="14" spans="1:6" x14ac:dyDescent="0.35">
      <c r="A14" s="3">
        <v>46207</v>
      </c>
    </row>
    <row r="15" spans="1:6" x14ac:dyDescent="0.35">
      <c r="A15" s="3">
        <v>46209</v>
      </c>
    </row>
    <row r="16" spans="1:6" x14ac:dyDescent="0.35">
      <c r="A16" s="3">
        <v>46210</v>
      </c>
    </row>
    <row r="17" spans="1:20" x14ac:dyDescent="0.35">
      <c r="A17" s="3">
        <v>46211</v>
      </c>
    </row>
    <row r="18" spans="1:20" x14ac:dyDescent="0.35">
      <c r="A18" s="3">
        <v>46212</v>
      </c>
    </row>
    <row r="19" spans="1:20" x14ac:dyDescent="0.35">
      <c r="A19" s="3">
        <v>46213</v>
      </c>
    </row>
    <row r="20" spans="1:20" x14ac:dyDescent="0.35">
      <c r="A20" s="3">
        <v>46214</v>
      </c>
    </row>
    <row r="21" spans="1:20" x14ac:dyDescent="0.35">
      <c r="A21" s="3">
        <v>46216</v>
      </c>
    </row>
    <row r="22" spans="1:20" x14ac:dyDescent="0.35">
      <c r="A22" s="3">
        <v>46217</v>
      </c>
    </row>
    <row r="23" spans="1:20" x14ac:dyDescent="0.35">
      <c r="A23" s="3">
        <v>46218</v>
      </c>
    </row>
    <row r="24" spans="1:20" x14ac:dyDescent="0.35">
      <c r="A24" s="3">
        <v>46219</v>
      </c>
      <c r="J24" s="8"/>
      <c r="K24" s="100">
        <v>46198</v>
      </c>
      <c r="L24" s="101"/>
      <c r="M24" s="96">
        <v>46199</v>
      </c>
      <c r="N24" s="102"/>
      <c r="O24" s="96">
        <v>46200</v>
      </c>
      <c r="P24" s="102"/>
      <c r="Q24" s="96">
        <v>46202</v>
      </c>
      <c r="R24" s="102"/>
      <c r="S24" s="96">
        <v>46203</v>
      </c>
      <c r="T24" s="102"/>
    </row>
    <row r="25" spans="1:20" x14ac:dyDescent="0.35">
      <c r="A25" s="3">
        <v>46220</v>
      </c>
      <c r="J25" s="8"/>
      <c r="K25" s="10" t="s">
        <v>251</v>
      </c>
      <c r="L25" s="10" t="s">
        <v>252</v>
      </c>
      <c r="M25" s="10" t="s">
        <v>251</v>
      </c>
      <c r="N25" s="10" t="s">
        <v>252</v>
      </c>
      <c r="O25" s="10" t="s">
        <v>251</v>
      </c>
      <c r="P25" s="10" t="s">
        <v>252</v>
      </c>
      <c r="Q25" s="10" t="s">
        <v>251</v>
      </c>
      <c r="R25" s="10" t="s">
        <v>252</v>
      </c>
      <c r="S25" s="10" t="s">
        <v>251</v>
      </c>
      <c r="T25" s="10" t="s">
        <v>252</v>
      </c>
    </row>
    <row r="26" spans="1:20" x14ac:dyDescent="0.35">
      <c r="A26" s="3">
        <v>46221</v>
      </c>
      <c r="J26" s="8" t="s">
        <v>253</v>
      </c>
      <c r="K26" s="10">
        <v>48</v>
      </c>
      <c r="L26" s="10">
        <v>27704</v>
      </c>
      <c r="M26" s="10">
        <v>48</v>
      </c>
      <c r="N26" s="10">
        <v>27442</v>
      </c>
      <c r="O26" s="10">
        <v>48</v>
      </c>
      <c r="P26" s="10">
        <v>27442</v>
      </c>
      <c r="Q26" s="10">
        <v>48</v>
      </c>
      <c r="R26" s="10">
        <v>27442</v>
      </c>
      <c r="S26" s="10">
        <v>46</v>
      </c>
      <c r="T26" s="10">
        <v>26871</v>
      </c>
    </row>
    <row r="27" spans="1:20" x14ac:dyDescent="0.35">
      <c r="A27" s="3">
        <v>46223</v>
      </c>
      <c r="J27" s="8" t="s">
        <v>254</v>
      </c>
      <c r="K27" s="10">
        <v>76</v>
      </c>
      <c r="L27" s="10">
        <v>32094</v>
      </c>
      <c r="M27" s="10">
        <v>71</v>
      </c>
      <c r="N27" s="10">
        <v>29634</v>
      </c>
      <c r="O27" s="10">
        <v>68</v>
      </c>
      <c r="P27" s="10">
        <v>28153</v>
      </c>
      <c r="Q27" s="10">
        <v>39</v>
      </c>
      <c r="R27" s="10">
        <v>14518</v>
      </c>
      <c r="S27" s="10">
        <v>37</v>
      </c>
      <c r="T27" s="10">
        <v>14005</v>
      </c>
    </row>
    <row r="28" spans="1:20" x14ac:dyDescent="0.35">
      <c r="A28" s="3">
        <v>46224</v>
      </c>
      <c r="J28" s="8" t="s">
        <v>255</v>
      </c>
      <c r="K28" s="10">
        <v>59</v>
      </c>
      <c r="L28" s="10">
        <v>33098</v>
      </c>
      <c r="M28" s="10">
        <v>58</v>
      </c>
      <c r="N28" s="10">
        <v>32598</v>
      </c>
      <c r="O28" s="10">
        <v>58</v>
      </c>
      <c r="P28" s="10">
        <v>32598</v>
      </c>
      <c r="Q28" s="10">
        <v>49</v>
      </c>
      <c r="R28" s="10">
        <v>28196</v>
      </c>
      <c r="S28" s="10">
        <v>48</v>
      </c>
      <c r="T28" s="10">
        <v>28074</v>
      </c>
    </row>
    <row r="29" spans="1:20" x14ac:dyDescent="0.35">
      <c r="A29" s="3">
        <v>46225</v>
      </c>
      <c r="J29" s="8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5">
      <c r="A30" s="3">
        <v>46226</v>
      </c>
      <c r="J30" s="8" t="s">
        <v>249</v>
      </c>
      <c r="K30" s="10">
        <f t="shared" ref="K30:T30" si="1">SUM(K26:K29)</f>
        <v>183</v>
      </c>
      <c r="L30" s="10">
        <f t="shared" si="1"/>
        <v>92896</v>
      </c>
      <c r="M30" s="10">
        <f t="shared" si="1"/>
        <v>177</v>
      </c>
      <c r="N30" s="10">
        <f t="shared" si="1"/>
        <v>89674</v>
      </c>
      <c r="O30" s="10">
        <f t="shared" si="1"/>
        <v>174</v>
      </c>
      <c r="P30" s="10">
        <f t="shared" si="1"/>
        <v>88193</v>
      </c>
      <c r="Q30" s="10">
        <f t="shared" si="1"/>
        <v>136</v>
      </c>
      <c r="R30" s="10">
        <f t="shared" si="1"/>
        <v>70156</v>
      </c>
      <c r="S30" s="10">
        <f t="shared" si="1"/>
        <v>131</v>
      </c>
      <c r="T30" s="10">
        <f t="shared" si="1"/>
        <v>68950</v>
      </c>
    </row>
    <row r="31" spans="1:20" x14ac:dyDescent="0.35">
      <c r="A31" s="3">
        <v>46227</v>
      </c>
    </row>
    <row r="32" spans="1:20" x14ac:dyDescent="0.35">
      <c r="A32" s="3">
        <v>46228</v>
      </c>
    </row>
    <row r="33" spans="1:1" x14ac:dyDescent="0.35">
      <c r="A33" s="3">
        <v>46230</v>
      </c>
    </row>
    <row r="34" spans="1:1" x14ac:dyDescent="0.35">
      <c r="A34" s="3">
        <v>46231</v>
      </c>
    </row>
    <row r="35" spans="1:1" x14ac:dyDescent="0.35">
      <c r="A35" s="3">
        <v>46232</v>
      </c>
    </row>
    <row r="36" spans="1:1" x14ac:dyDescent="0.35">
      <c r="A36" s="3">
        <v>46233</v>
      </c>
    </row>
    <row r="37" spans="1:1" x14ac:dyDescent="0.35">
      <c r="A37" s="3">
        <v>46234</v>
      </c>
    </row>
    <row r="38" spans="1:1" x14ac:dyDescent="0.35">
      <c r="A38" s="3">
        <v>46235</v>
      </c>
    </row>
    <row r="39" spans="1:1" x14ac:dyDescent="0.35">
      <c r="A39" s="3">
        <v>46237</v>
      </c>
    </row>
    <row r="40" spans="1:1" x14ac:dyDescent="0.35">
      <c r="A40" s="3">
        <v>46238</v>
      </c>
    </row>
    <row r="41" spans="1:1" x14ac:dyDescent="0.35">
      <c r="A41" s="3">
        <v>46239</v>
      </c>
    </row>
    <row r="42" spans="1:1" x14ac:dyDescent="0.35">
      <c r="A42" s="3">
        <v>46240</v>
      </c>
    </row>
    <row r="43" spans="1:1" x14ac:dyDescent="0.35">
      <c r="A43" s="3">
        <v>46241</v>
      </c>
    </row>
    <row r="44" spans="1:1" x14ac:dyDescent="0.35">
      <c r="A44" s="3">
        <v>46242</v>
      </c>
    </row>
    <row r="45" spans="1:1" x14ac:dyDescent="0.35">
      <c r="A45" s="3">
        <v>46244</v>
      </c>
    </row>
    <row r="46" spans="1:1" x14ac:dyDescent="0.35">
      <c r="A46" s="3">
        <v>46245</v>
      </c>
    </row>
    <row r="47" spans="1:1" x14ac:dyDescent="0.35">
      <c r="A47" s="3">
        <v>46246</v>
      </c>
    </row>
    <row r="48" spans="1:1" x14ac:dyDescent="0.35">
      <c r="A48" s="3">
        <v>46247</v>
      </c>
    </row>
    <row r="49" spans="1:1" x14ac:dyDescent="0.35">
      <c r="A49" s="3">
        <v>46248</v>
      </c>
    </row>
    <row r="50" spans="1:1" x14ac:dyDescent="0.35">
      <c r="A50" s="3">
        <v>46249</v>
      </c>
    </row>
    <row r="51" spans="1:1" x14ac:dyDescent="0.35">
      <c r="A51" s="3">
        <v>46251</v>
      </c>
    </row>
    <row r="52" spans="1:1" x14ac:dyDescent="0.35">
      <c r="A52" s="3">
        <v>46252</v>
      </c>
    </row>
    <row r="53" spans="1:1" x14ac:dyDescent="0.35">
      <c r="A53" s="3">
        <v>46253</v>
      </c>
    </row>
    <row r="54" spans="1:1" x14ac:dyDescent="0.35">
      <c r="A54" s="3">
        <v>46254</v>
      </c>
    </row>
    <row r="55" spans="1:1" x14ac:dyDescent="0.35">
      <c r="A55" s="3">
        <v>46255</v>
      </c>
    </row>
    <row r="56" spans="1:1" x14ac:dyDescent="0.35">
      <c r="A56" s="3">
        <v>46256</v>
      </c>
    </row>
    <row r="57" spans="1:1" x14ac:dyDescent="0.35">
      <c r="A57" s="3">
        <v>46258</v>
      </c>
    </row>
    <row r="58" spans="1:1" x14ac:dyDescent="0.35">
      <c r="A58" s="3">
        <v>46259</v>
      </c>
    </row>
    <row r="59" spans="1:1" x14ac:dyDescent="0.35">
      <c r="A59" s="3">
        <v>46260</v>
      </c>
    </row>
    <row r="60" spans="1:1" x14ac:dyDescent="0.35">
      <c r="A60" s="3">
        <v>46261</v>
      </c>
    </row>
    <row r="61" spans="1:1" x14ac:dyDescent="0.35">
      <c r="A61" s="3">
        <v>46262</v>
      </c>
    </row>
    <row r="62" spans="1:1" x14ac:dyDescent="0.35">
      <c r="A62" s="3">
        <v>46263</v>
      </c>
    </row>
    <row r="63" spans="1:1" x14ac:dyDescent="0.35">
      <c r="A63" s="3">
        <v>46265</v>
      </c>
    </row>
    <row r="64" spans="1:1" x14ac:dyDescent="0.35">
      <c r="A64" s="3">
        <v>46266</v>
      </c>
    </row>
    <row r="65" spans="1:1" x14ac:dyDescent="0.35">
      <c r="A65" s="3">
        <v>46267</v>
      </c>
    </row>
    <row r="66" spans="1:1" x14ac:dyDescent="0.35">
      <c r="A66" s="3">
        <v>46268</v>
      </c>
    </row>
    <row r="67" spans="1:1" x14ac:dyDescent="0.35">
      <c r="A67" s="3">
        <v>46269</v>
      </c>
    </row>
    <row r="68" spans="1:1" x14ac:dyDescent="0.35">
      <c r="A68" s="3">
        <v>46270</v>
      </c>
    </row>
    <row r="69" spans="1:1" x14ac:dyDescent="0.35">
      <c r="A69" s="3">
        <v>46272</v>
      </c>
    </row>
    <row r="70" spans="1:1" x14ac:dyDescent="0.35">
      <c r="A70" s="3">
        <v>46273</v>
      </c>
    </row>
    <row r="71" spans="1:1" x14ac:dyDescent="0.35">
      <c r="A71" s="3">
        <v>46274</v>
      </c>
    </row>
    <row r="72" spans="1:1" x14ac:dyDescent="0.35">
      <c r="A72" s="3">
        <v>46275</v>
      </c>
    </row>
    <row r="73" spans="1:1" x14ac:dyDescent="0.35">
      <c r="A73" s="3">
        <v>46276</v>
      </c>
    </row>
    <row r="74" spans="1:1" x14ac:dyDescent="0.35">
      <c r="A74" s="3">
        <v>46277</v>
      </c>
    </row>
    <row r="75" spans="1:1" x14ac:dyDescent="0.35">
      <c r="A75" s="3">
        <v>46279</v>
      </c>
    </row>
    <row r="76" spans="1:1" x14ac:dyDescent="0.35">
      <c r="A76" s="3">
        <v>46280</v>
      </c>
    </row>
    <row r="77" spans="1:1" x14ac:dyDescent="0.35">
      <c r="A77" s="3">
        <v>46281</v>
      </c>
    </row>
    <row r="78" spans="1:1" x14ac:dyDescent="0.35">
      <c r="A78" s="3">
        <v>46282</v>
      </c>
    </row>
    <row r="79" spans="1:1" x14ac:dyDescent="0.35">
      <c r="A79" s="3">
        <v>46283</v>
      </c>
    </row>
    <row r="80" spans="1:1" x14ac:dyDescent="0.35">
      <c r="A80" s="3">
        <v>46284</v>
      </c>
    </row>
    <row r="81" spans="1:1" x14ac:dyDescent="0.35">
      <c r="A81" s="3">
        <v>46286</v>
      </c>
    </row>
    <row r="82" spans="1:1" x14ac:dyDescent="0.35">
      <c r="A82" s="3">
        <v>46287</v>
      </c>
    </row>
    <row r="83" spans="1:1" x14ac:dyDescent="0.35">
      <c r="A83" s="3">
        <v>46288</v>
      </c>
    </row>
    <row r="84" spans="1:1" x14ac:dyDescent="0.35">
      <c r="A84" s="3">
        <v>46289</v>
      </c>
    </row>
    <row r="85" spans="1:1" x14ac:dyDescent="0.35">
      <c r="A85" s="3">
        <v>46290</v>
      </c>
    </row>
    <row r="86" spans="1:1" x14ac:dyDescent="0.35">
      <c r="A86" s="3">
        <v>46291</v>
      </c>
    </row>
    <row r="87" spans="1:1" x14ac:dyDescent="0.35">
      <c r="A87" s="3">
        <v>46293</v>
      </c>
    </row>
    <row r="88" spans="1:1" x14ac:dyDescent="0.35">
      <c r="A88" s="3">
        <v>46294</v>
      </c>
    </row>
    <row r="89" spans="1:1" x14ac:dyDescent="0.35">
      <c r="A89" s="3">
        <v>46295</v>
      </c>
    </row>
    <row r="90" spans="1:1" x14ac:dyDescent="0.35">
      <c r="A90" s="3">
        <v>46296</v>
      </c>
    </row>
    <row r="91" spans="1:1" x14ac:dyDescent="0.35">
      <c r="A91" s="3">
        <v>46297</v>
      </c>
    </row>
    <row r="92" spans="1:1" x14ac:dyDescent="0.35">
      <c r="A92" s="3">
        <v>46298</v>
      </c>
    </row>
    <row r="93" spans="1:1" x14ac:dyDescent="0.35">
      <c r="A93" s="3">
        <v>46300</v>
      </c>
    </row>
  </sheetData>
  <mergeCells count="5">
    <mergeCell ref="K24:L24"/>
    <mergeCell ref="M24:N24"/>
    <mergeCell ref="O24:P24"/>
    <mergeCell ref="Q24:R24"/>
    <mergeCell ref="S24:T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16F0-8732-45C5-A7EF-8494D61A53A9}">
  <dimension ref="A2:I60"/>
  <sheetViews>
    <sheetView showGridLines="0" tabSelected="1" zoomScale="80" zoomScaleNormal="8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4.5" x14ac:dyDescent="0.35"/>
  <cols>
    <col min="1" max="1" width="10.453125" bestFit="1" customWidth="1"/>
    <col min="2" max="2" width="14.453125" customWidth="1"/>
    <col min="3" max="4" width="8.81640625" customWidth="1"/>
    <col min="5" max="5" width="11.7265625" bestFit="1" customWidth="1"/>
    <col min="7" max="7" width="17" hidden="1" customWidth="1"/>
    <col min="8" max="8" width="4.1796875" hidden="1" customWidth="1"/>
    <col min="9" max="9" width="8.7265625" hidden="1" customWidth="1"/>
    <col min="23" max="23" width="13.7265625" bestFit="1" customWidth="1"/>
    <col min="24" max="24" width="16.81640625" bestFit="1" customWidth="1"/>
    <col min="25" max="25" width="6.81640625" bestFit="1" customWidth="1"/>
    <col min="26" max="26" width="14.81640625" bestFit="1" customWidth="1"/>
    <col min="27" max="27" width="7.1796875" bestFit="1" customWidth="1"/>
    <col min="28" max="28" width="11" bestFit="1" customWidth="1"/>
    <col min="29" max="29" width="11.1796875" bestFit="1" customWidth="1"/>
    <col min="16384" max="16384" width="8.7265625" bestFit="1" customWidth="1"/>
  </cols>
  <sheetData>
    <row r="2" spans="1:7" ht="29" x14ac:dyDescent="0.35">
      <c r="A2" s="1" t="s">
        <v>245</v>
      </c>
      <c r="B2" s="1" t="s">
        <v>256</v>
      </c>
      <c r="C2" s="1" t="s">
        <v>9</v>
      </c>
      <c r="D2" s="1" t="s">
        <v>253</v>
      </c>
      <c r="E2" s="1" t="s">
        <v>246</v>
      </c>
      <c r="F2" s="1" t="s">
        <v>249</v>
      </c>
      <c r="G2" s="2" t="s">
        <v>250</v>
      </c>
    </row>
    <row r="3" spans="1:7" x14ac:dyDescent="0.35">
      <c r="A3" s="3">
        <v>46196</v>
      </c>
      <c r="B3">
        <v>61</v>
      </c>
      <c r="C3">
        <v>88</v>
      </c>
      <c r="D3">
        <v>48</v>
      </c>
      <c r="E3">
        <v>0</v>
      </c>
      <c r="F3">
        <f t="shared" ref="F3" si="0">SUM(B3:E3)</f>
        <v>197</v>
      </c>
    </row>
    <row r="4" spans="1:7" x14ac:dyDescent="0.35">
      <c r="A4" s="3">
        <v>46197</v>
      </c>
      <c r="B4">
        <f>B3-3</f>
        <v>58</v>
      </c>
      <c r="C4">
        <f>C3-1</f>
        <v>87</v>
      </c>
      <c r="D4">
        <v>48</v>
      </c>
      <c r="E4">
        <v>0</v>
      </c>
      <c r="F4">
        <f>SUM(B4:E4)</f>
        <v>193</v>
      </c>
    </row>
    <row r="5" spans="1:7" x14ac:dyDescent="0.35">
      <c r="A5" s="3">
        <v>46198</v>
      </c>
      <c r="B5">
        <v>76</v>
      </c>
      <c r="C5">
        <v>59</v>
      </c>
      <c r="D5">
        <v>48</v>
      </c>
      <c r="F5">
        <f t="shared" ref="F5:F60" si="1">SUM(B5:E5)</f>
        <v>183</v>
      </c>
    </row>
    <row r="6" spans="1:7" x14ac:dyDescent="0.35">
      <c r="A6" s="3">
        <v>46199</v>
      </c>
      <c r="B6">
        <v>76</v>
      </c>
      <c r="C6">
        <v>59</v>
      </c>
      <c r="D6">
        <v>48</v>
      </c>
      <c r="F6">
        <f t="shared" si="1"/>
        <v>183</v>
      </c>
    </row>
    <row r="7" spans="1:7" x14ac:dyDescent="0.35">
      <c r="A7" s="3">
        <v>46200</v>
      </c>
      <c r="B7">
        <v>71</v>
      </c>
      <c r="C7">
        <v>58</v>
      </c>
      <c r="D7">
        <v>48</v>
      </c>
      <c r="F7">
        <f t="shared" si="1"/>
        <v>177</v>
      </c>
    </row>
    <row r="8" spans="1:7" x14ac:dyDescent="0.35">
      <c r="A8" s="3">
        <v>46202</v>
      </c>
      <c r="B8">
        <v>68</v>
      </c>
      <c r="C8">
        <v>58</v>
      </c>
      <c r="D8">
        <v>48</v>
      </c>
      <c r="F8">
        <f t="shared" si="1"/>
        <v>174</v>
      </c>
    </row>
    <row r="9" spans="1:7" x14ac:dyDescent="0.35">
      <c r="A9" s="3">
        <v>46203</v>
      </c>
      <c r="B9">
        <v>38</v>
      </c>
      <c r="C9">
        <v>51</v>
      </c>
      <c r="D9">
        <v>48</v>
      </c>
      <c r="F9">
        <f t="shared" si="1"/>
        <v>137</v>
      </c>
    </row>
    <row r="10" spans="1:7" x14ac:dyDescent="0.35">
      <c r="A10" s="3">
        <v>46204</v>
      </c>
      <c r="B10">
        <f>B9-1</f>
        <v>37</v>
      </c>
      <c r="C10">
        <f>C9-1</f>
        <v>50</v>
      </c>
      <c r="D10">
        <f>D9-2</f>
        <v>46</v>
      </c>
      <c r="F10">
        <f t="shared" si="1"/>
        <v>133</v>
      </c>
    </row>
    <row r="11" spans="1:7" x14ac:dyDescent="0.35">
      <c r="A11" s="3">
        <v>46205</v>
      </c>
      <c r="B11">
        <f t="shared" ref="B11:B47" si="2">B10-1</f>
        <v>36</v>
      </c>
      <c r="C11">
        <f t="shared" ref="C11:C60" si="3">C10-1</f>
        <v>49</v>
      </c>
      <c r="D11">
        <v>46</v>
      </c>
      <c r="F11">
        <f t="shared" si="1"/>
        <v>131</v>
      </c>
    </row>
    <row r="12" spans="1:7" x14ac:dyDescent="0.35">
      <c r="A12" s="3">
        <v>46206</v>
      </c>
      <c r="B12">
        <f t="shared" si="2"/>
        <v>35</v>
      </c>
      <c r="C12">
        <f t="shared" si="3"/>
        <v>48</v>
      </c>
      <c r="D12">
        <v>46</v>
      </c>
      <c r="F12">
        <f t="shared" si="1"/>
        <v>129</v>
      </c>
    </row>
    <row r="13" spans="1:7" x14ac:dyDescent="0.35">
      <c r="A13" s="3">
        <v>46207</v>
      </c>
      <c r="B13">
        <f t="shared" si="2"/>
        <v>34</v>
      </c>
      <c r="C13">
        <f t="shared" si="3"/>
        <v>47</v>
      </c>
      <c r="D13">
        <v>46</v>
      </c>
      <c r="F13">
        <f t="shared" si="1"/>
        <v>127</v>
      </c>
    </row>
    <row r="14" spans="1:7" x14ac:dyDescent="0.35">
      <c r="A14" s="3">
        <v>46209</v>
      </c>
      <c r="B14">
        <f t="shared" si="2"/>
        <v>33</v>
      </c>
      <c r="C14">
        <f t="shared" si="3"/>
        <v>46</v>
      </c>
      <c r="D14">
        <v>46</v>
      </c>
      <c r="F14">
        <f t="shared" si="1"/>
        <v>125</v>
      </c>
    </row>
    <row r="15" spans="1:7" x14ac:dyDescent="0.35">
      <c r="A15" s="3">
        <v>46210</v>
      </c>
      <c r="B15">
        <f t="shared" si="2"/>
        <v>32</v>
      </c>
      <c r="C15">
        <f t="shared" si="3"/>
        <v>45</v>
      </c>
      <c r="D15">
        <v>46</v>
      </c>
      <c r="F15">
        <f t="shared" si="1"/>
        <v>123</v>
      </c>
    </row>
    <row r="16" spans="1:7" x14ac:dyDescent="0.35">
      <c r="A16" s="3">
        <v>46211</v>
      </c>
      <c r="B16">
        <f t="shared" si="2"/>
        <v>31</v>
      </c>
      <c r="C16">
        <f t="shared" si="3"/>
        <v>44</v>
      </c>
      <c r="D16">
        <v>46</v>
      </c>
      <c r="F16">
        <f t="shared" si="1"/>
        <v>121</v>
      </c>
    </row>
    <row r="17" spans="1:6" x14ac:dyDescent="0.35">
      <c r="A17" s="3">
        <v>46212</v>
      </c>
      <c r="B17">
        <f t="shared" si="2"/>
        <v>30</v>
      </c>
      <c r="C17">
        <f t="shared" si="3"/>
        <v>43</v>
      </c>
      <c r="D17">
        <v>46</v>
      </c>
      <c r="F17">
        <f t="shared" si="1"/>
        <v>119</v>
      </c>
    </row>
    <row r="18" spans="1:6" x14ac:dyDescent="0.35">
      <c r="A18" s="3">
        <v>46213</v>
      </c>
      <c r="B18">
        <f t="shared" si="2"/>
        <v>29</v>
      </c>
      <c r="C18">
        <f t="shared" si="3"/>
        <v>42</v>
      </c>
      <c r="D18">
        <v>46</v>
      </c>
      <c r="F18">
        <f t="shared" si="1"/>
        <v>117</v>
      </c>
    </row>
    <row r="19" spans="1:6" x14ac:dyDescent="0.35">
      <c r="A19" s="3">
        <v>46214</v>
      </c>
      <c r="B19">
        <f t="shared" si="2"/>
        <v>28</v>
      </c>
      <c r="C19">
        <f t="shared" si="3"/>
        <v>41</v>
      </c>
      <c r="D19">
        <v>46</v>
      </c>
      <c r="F19">
        <f t="shared" si="1"/>
        <v>115</v>
      </c>
    </row>
    <row r="20" spans="1:6" x14ac:dyDescent="0.35">
      <c r="A20" s="3">
        <v>46216</v>
      </c>
      <c r="B20">
        <f t="shared" si="2"/>
        <v>27</v>
      </c>
      <c r="C20">
        <f t="shared" si="3"/>
        <v>40</v>
      </c>
      <c r="D20">
        <v>46</v>
      </c>
      <c r="F20">
        <f t="shared" si="1"/>
        <v>113</v>
      </c>
    </row>
    <row r="21" spans="1:6" x14ac:dyDescent="0.35">
      <c r="A21" s="3">
        <v>46217</v>
      </c>
      <c r="B21">
        <f t="shared" si="2"/>
        <v>26</v>
      </c>
      <c r="C21">
        <f t="shared" si="3"/>
        <v>39</v>
      </c>
      <c r="D21">
        <v>46</v>
      </c>
      <c r="F21">
        <f t="shared" si="1"/>
        <v>111</v>
      </c>
    </row>
    <row r="22" spans="1:6" x14ac:dyDescent="0.35">
      <c r="A22" s="3">
        <v>46218</v>
      </c>
      <c r="B22">
        <f t="shared" si="2"/>
        <v>25</v>
      </c>
      <c r="C22">
        <f t="shared" si="3"/>
        <v>38</v>
      </c>
      <c r="D22">
        <v>46</v>
      </c>
      <c r="F22">
        <f t="shared" si="1"/>
        <v>109</v>
      </c>
    </row>
    <row r="23" spans="1:6" x14ac:dyDescent="0.35">
      <c r="A23" s="3">
        <v>46219</v>
      </c>
      <c r="B23">
        <f t="shared" si="2"/>
        <v>24</v>
      </c>
      <c r="C23">
        <f t="shared" si="3"/>
        <v>37</v>
      </c>
      <c r="D23">
        <v>46</v>
      </c>
      <c r="F23">
        <f t="shared" si="1"/>
        <v>107</v>
      </c>
    </row>
    <row r="24" spans="1:6" x14ac:dyDescent="0.35">
      <c r="A24" s="3">
        <v>46220</v>
      </c>
      <c r="B24">
        <f t="shared" si="2"/>
        <v>23</v>
      </c>
      <c r="C24">
        <f t="shared" si="3"/>
        <v>36</v>
      </c>
      <c r="D24">
        <v>46</v>
      </c>
      <c r="F24">
        <f t="shared" si="1"/>
        <v>105</v>
      </c>
    </row>
    <row r="25" spans="1:6" x14ac:dyDescent="0.35">
      <c r="A25" s="3">
        <v>46221</v>
      </c>
      <c r="B25">
        <f t="shared" si="2"/>
        <v>22</v>
      </c>
      <c r="C25">
        <f t="shared" si="3"/>
        <v>35</v>
      </c>
      <c r="D25">
        <v>46</v>
      </c>
      <c r="F25">
        <f t="shared" si="1"/>
        <v>103</v>
      </c>
    </row>
    <row r="26" spans="1:6" x14ac:dyDescent="0.35">
      <c r="A26" s="3">
        <v>46223</v>
      </c>
      <c r="B26">
        <f t="shared" si="2"/>
        <v>21</v>
      </c>
      <c r="C26">
        <f t="shared" si="3"/>
        <v>34</v>
      </c>
      <c r="D26">
        <v>46</v>
      </c>
      <c r="F26">
        <f t="shared" si="1"/>
        <v>101</v>
      </c>
    </row>
    <row r="27" spans="1:6" x14ac:dyDescent="0.35">
      <c r="A27" s="3">
        <v>46224</v>
      </c>
      <c r="B27">
        <f t="shared" si="2"/>
        <v>20</v>
      </c>
      <c r="C27">
        <f t="shared" si="3"/>
        <v>33</v>
      </c>
      <c r="D27">
        <v>46</v>
      </c>
      <c r="F27">
        <f t="shared" si="1"/>
        <v>99</v>
      </c>
    </row>
    <row r="28" spans="1:6" x14ac:dyDescent="0.35">
      <c r="A28" s="3">
        <v>46225</v>
      </c>
      <c r="B28">
        <f t="shared" si="2"/>
        <v>19</v>
      </c>
      <c r="C28">
        <f t="shared" si="3"/>
        <v>32</v>
      </c>
      <c r="D28">
        <v>46</v>
      </c>
      <c r="F28">
        <f t="shared" si="1"/>
        <v>97</v>
      </c>
    </row>
    <row r="29" spans="1:6" x14ac:dyDescent="0.35">
      <c r="A29" s="3">
        <v>46226</v>
      </c>
      <c r="B29">
        <f t="shared" si="2"/>
        <v>18</v>
      </c>
      <c r="C29">
        <f t="shared" si="3"/>
        <v>31</v>
      </c>
      <c r="D29">
        <v>46</v>
      </c>
      <c r="F29">
        <f t="shared" si="1"/>
        <v>95</v>
      </c>
    </row>
    <row r="30" spans="1:6" x14ac:dyDescent="0.35">
      <c r="A30" s="3">
        <v>46227</v>
      </c>
      <c r="B30">
        <f t="shared" si="2"/>
        <v>17</v>
      </c>
      <c r="C30">
        <f t="shared" si="3"/>
        <v>30</v>
      </c>
      <c r="D30">
        <v>46</v>
      </c>
      <c r="F30">
        <f t="shared" si="1"/>
        <v>93</v>
      </c>
    </row>
    <row r="31" spans="1:6" x14ac:dyDescent="0.35">
      <c r="A31" s="3">
        <v>46228</v>
      </c>
      <c r="B31">
        <f t="shared" si="2"/>
        <v>16</v>
      </c>
      <c r="C31">
        <f t="shared" si="3"/>
        <v>29</v>
      </c>
      <c r="D31">
        <v>46</v>
      </c>
      <c r="F31">
        <f t="shared" si="1"/>
        <v>91</v>
      </c>
    </row>
    <row r="32" spans="1:6" x14ac:dyDescent="0.35">
      <c r="A32" s="3">
        <v>46230</v>
      </c>
      <c r="B32">
        <f t="shared" si="2"/>
        <v>15</v>
      </c>
      <c r="C32">
        <f t="shared" si="3"/>
        <v>28</v>
      </c>
      <c r="D32">
        <v>46</v>
      </c>
      <c r="F32">
        <f t="shared" si="1"/>
        <v>89</v>
      </c>
    </row>
    <row r="33" spans="1:6" x14ac:dyDescent="0.35">
      <c r="A33" s="3">
        <v>46231</v>
      </c>
      <c r="B33">
        <f t="shared" si="2"/>
        <v>14</v>
      </c>
      <c r="C33">
        <f t="shared" si="3"/>
        <v>27</v>
      </c>
      <c r="D33">
        <v>46</v>
      </c>
      <c r="F33">
        <f t="shared" si="1"/>
        <v>87</v>
      </c>
    </row>
    <row r="34" spans="1:6" x14ac:dyDescent="0.35">
      <c r="A34" s="3">
        <v>46232</v>
      </c>
      <c r="B34">
        <f t="shared" si="2"/>
        <v>13</v>
      </c>
      <c r="C34">
        <f t="shared" si="3"/>
        <v>26</v>
      </c>
      <c r="D34">
        <v>46</v>
      </c>
      <c r="F34">
        <f t="shared" si="1"/>
        <v>85</v>
      </c>
    </row>
    <row r="35" spans="1:6" x14ac:dyDescent="0.35">
      <c r="A35" s="3">
        <v>46233</v>
      </c>
      <c r="B35">
        <f t="shared" si="2"/>
        <v>12</v>
      </c>
      <c r="C35">
        <f t="shared" si="3"/>
        <v>25</v>
      </c>
      <c r="D35">
        <v>46</v>
      </c>
      <c r="F35">
        <f t="shared" si="1"/>
        <v>83</v>
      </c>
    </row>
    <row r="36" spans="1:6" x14ac:dyDescent="0.35">
      <c r="A36" s="3">
        <v>46234</v>
      </c>
      <c r="B36">
        <f t="shared" si="2"/>
        <v>11</v>
      </c>
      <c r="C36">
        <f t="shared" si="3"/>
        <v>24</v>
      </c>
      <c r="D36">
        <v>46</v>
      </c>
      <c r="F36">
        <f t="shared" si="1"/>
        <v>81</v>
      </c>
    </row>
    <row r="37" spans="1:6" x14ac:dyDescent="0.35">
      <c r="A37" s="3">
        <v>46235</v>
      </c>
      <c r="B37">
        <f t="shared" si="2"/>
        <v>10</v>
      </c>
      <c r="C37">
        <f t="shared" si="3"/>
        <v>23</v>
      </c>
      <c r="D37">
        <v>44</v>
      </c>
      <c r="F37">
        <f t="shared" si="1"/>
        <v>77</v>
      </c>
    </row>
    <row r="38" spans="1:6" x14ac:dyDescent="0.35">
      <c r="A38" s="3">
        <v>46237</v>
      </c>
      <c r="B38">
        <f t="shared" si="2"/>
        <v>9</v>
      </c>
      <c r="C38">
        <f t="shared" si="3"/>
        <v>22</v>
      </c>
      <c r="D38">
        <v>44</v>
      </c>
      <c r="F38">
        <f t="shared" si="1"/>
        <v>75</v>
      </c>
    </row>
    <row r="39" spans="1:6" x14ac:dyDescent="0.35">
      <c r="A39" s="3">
        <v>46238</v>
      </c>
      <c r="B39">
        <f t="shared" si="2"/>
        <v>8</v>
      </c>
      <c r="C39">
        <f t="shared" si="3"/>
        <v>21</v>
      </c>
      <c r="D39">
        <v>44</v>
      </c>
      <c r="F39">
        <f t="shared" si="1"/>
        <v>73</v>
      </c>
    </row>
    <row r="40" spans="1:6" x14ac:dyDescent="0.35">
      <c r="A40" s="3">
        <v>46239</v>
      </c>
      <c r="B40">
        <f t="shared" si="2"/>
        <v>7</v>
      </c>
      <c r="C40">
        <f t="shared" si="3"/>
        <v>20</v>
      </c>
      <c r="D40">
        <v>44</v>
      </c>
      <c r="F40">
        <f t="shared" si="1"/>
        <v>71</v>
      </c>
    </row>
    <row r="41" spans="1:6" x14ac:dyDescent="0.35">
      <c r="A41" s="3">
        <v>46240</v>
      </c>
      <c r="B41">
        <f t="shared" si="2"/>
        <v>6</v>
      </c>
      <c r="C41">
        <f t="shared" si="3"/>
        <v>19</v>
      </c>
      <c r="D41">
        <v>44</v>
      </c>
      <c r="F41">
        <f t="shared" si="1"/>
        <v>69</v>
      </c>
    </row>
    <row r="42" spans="1:6" x14ac:dyDescent="0.35">
      <c r="A42" s="3">
        <v>46241</v>
      </c>
      <c r="B42">
        <f t="shared" si="2"/>
        <v>5</v>
      </c>
      <c r="C42">
        <f t="shared" si="3"/>
        <v>18</v>
      </c>
      <c r="D42">
        <v>44</v>
      </c>
      <c r="F42">
        <f t="shared" si="1"/>
        <v>67</v>
      </c>
    </row>
    <row r="43" spans="1:6" x14ac:dyDescent="0.35">
      <c r="A43" s="3">
        <v>46242</v>
      </c>
      <c r="B43">
        <f t="shared" si="2"/>
        <v>4</v>
      </c>
      <c r="C43">
        <f t="shared" si="3"/>
        <v>17</v>
      </c>
      <c r="D43">
        <v>44</v>
      </c>
      <c r="F43">
        <f t="shared" si="1"/>
        <v>65</v>
      </c>
    </row>
    <row r="44" spans="1:6" x14ac:dyDescent="0.35">
      <c r="A44" s="3">
        <v>46244</v>
      </c>
      <c r="B44">
        <f t="shared" si="2"/>
        <v>3</v>
      </c>
      <c r="C44">
        <f t="shared" si="3"/>
        <v>16</v>
      </c>
      <c r="D44">
        <v>44</v>
      </c>
      <c r="F44">
        <f t="shared" si="1"/>
        <v>63</v>
      </c>
    </row>
    <row r="45" spans="1:6" x14ac:dyDescent="0.35">
      <c r="A45" s="3">
        <v>46245</v>
      </c>
      <c r="B45">
        <f t="shared" si="2"/>
        <v>2</v>
      </c>
      <c r="C45">
        <f t="shared" si="3"/>
        <v>15</v>
      </c>
      <c r="D45">
        <v>44</v>
      </c>
      <c r="F45">
        <f t="shared" si="1"/>
        <v>61</v>
      </c>
    </row>
    <row r="46" spans="1:6" x14ac:dyDescent="0.35">
      <c r="A46" s="3">
        <v>46246</v>
      </c>
      <c r="B46">
        <f t="shared" si="2"/>
        <v>1</v>
      </c>
      <c r="C46">
        <f t="shared" si="3"/>
        <v>14</v>
      </c>
      <c r="D46">
        <v>44</v>
      </c>
      <c r="F46">
        <f t="shared" si="1"/>
        <v>59</v>
      </c>
    </row>
    <row r="47" spans="1:6" x14ac:dyDescent="0.35">
      <c r="A47" s="3">
        <v>46247</v>
      </c>
      <c r="B47">
        <f t="shared" si="2"/>
        <v>0</v>
      </c>
      <c r="C47">
        <f t="shared" si="3"/>
        <v>13</v>
      </c>
      <c r="D47">
        <v>44</v>
      </c>
      <c r="F47">
        <f t="shared" si="1"/>
        <v>57</v>
      </c>
    </row>
    <row r="48" spans="1:6" x14ac:dyDescent="0.35">
      <c r="A48" s="3">
        <v>46248</v>
      </c>
      <c r="C48">
        <f t="shared" si="3"/>
        <v>12</v>
      </c>
      <c r="D48">
        <v>44</v>
      </c>
      <c r="F48">
        <f t="shared" si="1"/>
        <v>56</v>
      </c>
    </row>
    <row r="49" spans="1:6" x14ac:dyDescent="0.35">
      <c r="A49" s="3">
        <v>46249</v>
      </c>
      <c r="C49">
        <f t="shared" si="3"/>
        <v>11</v>
      </c>
      <c r="D49">
        <v>44</v>
      </c>
      <c r="F49">
        <f t="shared" si="1"/>
        <v>55</v>
      </c>
    </row>
    <row r="50" spans="1:6" x14ac:dyDescent="0.35">
      <c r="A50" s="3">
        <v>46251</v>
      </c>
      <c r="C50">
        <f t="shared" si="3"/>
        <v>10</v>
      </c>
      <c r="D50">
        <v>44</v>
      </c>
      <c r="F50">
        <f t="shared" si="1"/>
        <v>54</v>
      </c>
    </row>
    <row r="51" spans="1:6" x14ac:dyDescent="0.35">
      <c r="A51" s="3">
        <v>46252</v>
      </c>
      <c r="C51">
        <f t="shared" si="3"/>
        <v>9</v>
      </c>
      <c r="D51">
        <v>44</v>
      </c>
      <c r="F51">
        <f t="shared" si="1"/>
        <v>53</v>
      </c>
    </row>
    <row r="52" spans="1:6" x14ac:dyDescent="0.35">
      <c r="A52" s="3">
        <v>46253</v>
      </c>
      <c r="C52">
        <f t="shared" si="3"/>
        <v>8</v>
      </c>
      <c r="D52">
        <v>44</v>
      </c>
      <c r="F52">
        <f t="shared" si="1"/>
        <v>52</v>
      </c>
    </row>
    <row r="53" spans="1:6" x14ac:dyDescent="0.35">
      <c r="A53" s="3">
        <v>46254</v>
      </c>
      <c r="C53">
        <f t="shared" si="3"/>
        <v>7</v>
      </c>
      <c r="D53">
        <v>44</v>
      </c>
      <c r="F53">
        <f t="shared" si="1"/>
        <v>51</v>
      </c>
    </row>
    <row r="54" spans="1:6" x14ac:dyDescent="0.35">
      <c r="A54" s="3">
        <v>46255</v>
      </c>
      <c r="C54">
        <f t="shared" si="3"/>
        <v>6</v>
      </c>
      <c r="D54">
        <v>44</v>
      </c>
      <c r="F54">
        <f t="shared" si="1"/>
        <v>50</v>
      </c>
    </row>
    <row r="55" spans="1:6" x14ac:dyDescent="0.35">
      <c r="A55" s="3">
        <v>46256</v>
      </c>
      <c r="C55">
        <f t="shared" si="3"/>
        <v>5</v>
      </c>
      <c r="D55">
        <v>44</v>
      </c>
      <c r="F55">
        <f t="shared" si="1"/>
        <v>49</v>
      </c>
    </row>
    <row r="56" spans="1:6" x14ac:dyDescent="0.35">
      <c r="A56" s="3">
        <v>46258</v>
      </c>
      <c r="C56">
        <f t="shared" si="3"/>
        <v>4</v>
      </c>
      <c r="D56">
        <v>44</v>
      </c>
      <c r="F56">
        <f t="shared" si="1"/>
        <v>48</v>
      </c>
    </row>
    <row r="57" spans="1:6" x14ac:dyDescent="0.35">
      <c r="A57" s="3">
        <v>46259</v>
      </c>
      <c r="C57">
        <f t="shared" si="3"/>
        <v>3</v>
      </c>
      <c r="D57">
        <v>44</v>
      </c>
      <c r="F57">
        <f t="shared" si="1"/>
        <v>47</v>
      </c>
    </row>
    <row r="58" spans="1:6" x14ac:dyDescent="0.35">
      <c r="A58" s="3">
        <v>46260</v>
      </c>
      <c r="C58">
        <f t="shared" si="3"/>
        <v>2</v>
      </c>
      <c r="D58">
        <v>44</v>
      </c>
      <c r="F58">
        <f t="shared" si="1"/>
        <v>46</v>
      </c>
    </row>
    <row r="59" spans="1:6" x14ac:dyDescent="0.35">
      <c r="A59" s="3">
        <v>46261</v>
      </c>
      <c r="C59">
        <f t="shared" si="3"/>
        <v>1</v>
      </c>
      <c r="D59">
        <v>44</v>
      </c>
      <c r="F59">
        <f t="shared" si="1"/>
        <v>45</v>
      </c>
    </row>
    <row r="60" spans="1:6" x14ac:dyDescent="0.35">
      <c r="A60" s="3">
        <v>46262</v>
      </c>
      <c r="C60">
        <f t="shared" si="3"/>
        <v>0</v>
      </c>
      <c r="D60">
        <v>44</v>
      </c>
      <c r="F60">
        <f t="shared" si="1"/>
        <v>44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428E-F2CF-4436-AA6B-A02CD37EF433}">
  <dimension ref="A2:I93"/>
  <sheetViews>
    <sheetView showGridLines="0" zoomScale="99" zoomScaleNormal="99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defaultRowHeight="14.5" x14ac:dyDescent="0.35"/>
  <cols>
    <col min="1" max="1" width="10.453125" bestFit="1" customWidth="1"/>
    <col min="2" max="2" width="14.453125" customWidth="1"/>
    <col min="3" max="4" width="8.81640625" customWidth="1"/>
    <col min="5" max="5" width="11.7265625" bestFit="1" customWidth="1"/>
    <col min="7" max="7" width="17" hidden="1" customWidth="1"/>
    <col min="8" max="8" width="4.1796875" hidden="1" customWidth="1"/>
    <col min="9" max="9" width="8.7265625" hidden="1" customWidth="1"/>
    <col min="23" max="23" width="13.7265625" bestFit="1" customWidth="1"/>
    <col min="24" max="24" width="16.81640625" bestFit="1" customWidth="1"/>
    <col min="25" max="25" width="6.81640625" bestFit="1" customWidth="1"/>
    <col min="26" max="26" width="14.81640625" bestFit="1" customWidth="1"/>
    <col min="27" max="27" width="7.1796875" bestFit="1" customWidth="1"/>
    <col min="28" max="28" width="11" bestFit="1" customWidth="1"/>
    <col min="29" max="29" width="11.1796875" bestFit="1" customWidth="1"/>
    <col min="16384" max="16384" width="8.7265625" bestFit="1" customWidth="1"/>
  </cols>
  <sheetData>
    <row r="2" spans="1:7" ht="29" x14ac:dyDescent="0.35">
      <c r="A2" s="1" t="s">
        <v>245</v>
      </c>
      <c r="B2" s="1" t="s">
        <v>256</v>
      </c>
      <c r="C2" s="1" t="s">
        <v>9</v>
      </c>
      <c r="D2" s="1" t="s">
        <v>253</v>
      </c>
      <c r="E2" s="1" t="s">
        <v>246</v>
      </c>
      <c r="F2" s="1" t="s">
        <v>249</v>
      </c>
      <c r="G2" s="2" t="s">
        <v>250</v>
      </c>
    </row>
    <row r="3" spans="1:7" x14ac:dyDescent="0.35">
      <c r="A3" s="3">
        <v>46195</v>
      </c>
      <c r="B3">
        <v>61</v>
      </c>
      <c r="C3">
        <v>88</v>
      </c>
      <c r="D3">
        <v>48</v>
      </c>
      <c r="E3">
        <v>0</v>
      </c>
      <c r="F3">
        <f>SUM(B3:E3)</f>
        <v>197</v>
      </c>
      <c r="G3" s="2"/>
    </row>
    <row r="4" spans="1:7" x14ac:dyDescent="0.35">
      <c r="A4" s="3">
        <v>46196</v>
      </c>
      <c r="B4">
        <f>61-2</f>
        <v>59</v>
      </c>
      <c r="C4">
        <v>88</v>
      </c>
      <c r="D4">
        <v>48</v>
      </c>
      <c r="E4">
        <v>0</v>
      </c>
      <c r="F4">
        <f>SUM(B4:E4)</f>
        <v>195</v>
      </c>
    </row>
    <row r="5" spans="1:7" x14ac:dyDescent="0.35">
      <c r="A5" s="3">
        <v>46197</v>
      </c>
      <c r="B5">
        <f>B4-4</f>
        <v>55</v>
      </c>
      <c r="C5">
        <f>C4-4</f>
        <v>84</v>
      </c>
      <c r="D5">
        <v>48</v>
      </c>
      <c r="E5">
        <v>1</v>
      </c>
      <c r="F5">
        <f>SUM(B5:E5)</f>
        <v>188</v>
      </c>
    </row>
    <row r="6" spans="1:7" x14ac:dyDescent="0.35">
      <c r="A6" s="3">
        <v>46198</v>
      </c>
      <c r="B6">
        <f>B5-9</f>
        <v>46</v>
      </c>
      <c r="C6">
        <v>83</v>
      </c>
      <c r="D6">
        <f>D5</f>
        <v>48</v>
      </c>
      <c r="E6">
        <v>0</v>
      </c>
      <c r="F6">
        <f>SUM(B6:E6)</f>
        <v>177</v>
      </c>
    </row>
    <row r="7" spans="1:7" x14ac:dyDescent="0.35">
      <c r="A7" s="3">
        <v>46199</v>
      </c>
    </row>
    <row r="8" spans="1:7" x14ac:dyDescent="0.35">
      <c r="A8" s="3">
        <v>46200</v>
      </c>
    </row>
    <row r="9" spans="1:7" x14ac:dyDescent="0.35">
      <c r="A9" s="3">
        <v>46202</v>
      </c>
    </row>
    <row r="10" spans="1:7" x14ac:dyDescent="0.35">
      <c r="A10" s="3">
        <v>46203</v>
      </c>
    </row>
    <row r="11" spans="1:7" x14ac:dyDescent="0.35">
      <c r="A11" s="3">
        <v>46204</v>
      </c>
    </row>
    <row r="12" spans="1:7" x14ac:dyDescent="0.35">
      <c r="A12" s="3">
        <v>46205</v>
      </c>
    </row>
    <row r="13" spans="1:7" x14ac:dyDescent="0.35">
      <c r="A13" s="3">
        <v>46206</v>
      </c>
    </row>
    <row r="14" spans="1:7" x14ac:dyDescent="0.35">
      <c r="A14" s="3">
        <v>46207</v>
      </c>
    </row>
    <row r="15" spans="1:7" x14ac:dyDescent="0.35">
      <c r="A15" s="3">
        <v>46209</v>
      </c>
    </row>
    <row r="16" spans="1:7" x14ac:dyDescent="0.35">
      <c r="A16" s="3">
        <v>46210</v>
      </c>
    </row>
    <row r="17" spans="1:1" x14ac:dyDescent="0.35">
      <c r="A17" s="3">
        <v>46211</v>
      </c>
    </row>
    <row r="18" spans="1:1" x14ac:dyDescent="0.35">
      <c r="A18" s="3">
        <v>46212</v>
      </c>
    </row>
    <row r="19" spans="1:1" x14ac:dyDescent="0.35">
      <c r="A19" s="3">
        <v>46213</v>
      </c>
    </row>
    <row r="20" spans="1:1" x14ac:dyDescent="0.35">
      <c r="A20" s="3">
        <v>46214</v>
      </c>
    </row>
    <row r="21" spans="1:1" x14ac:dyDescent="0.35">
      <c r="A21" s="3">
        <v>46216</v>
      </c>
    </row>
    <row r="22" spans="1:1" x14ac:dyDescent="0.35">
      <c r="A22" s="3">
        <v>46217</v>
      </c>
    </row>
    <row r="23" spans="1:1" x14ac:dyDescent="0.35">
      <c r="A23" s="3">
        <v>46218</v>
      </c>
    </row>
    <row r="24" spans="1:1" x14ac:dyDescent="0.35">
      <c r="A24" s="3">
        <v>46219</v>
      </c>
    </row>
    <row r="25" spans="1:1" x14ac:dyDescent="0.35">
      <c r="A25" s="3">
        <v>46220</v>
      </c>
    </row>
    <row r="26" spans="1:1" x14ac:dyDescent="0.35">
      <c r="A26" s="3">
        <v>46221</v>
      </c>
    </row>
    <row r="27" spans="1:1" x14ac:dyDescent="0.35">
      <c r="A27" s="3">
        <v>46223</v>
      </c>
    </row>
    <row r="28" spans="1:1" x14ac:dyDescent="0.35">
      <c r="A28" s="3">
        <v>46224</v>
      </c>
    </row>
    <row r="29" spans="1:1" x14ac:dyDescent="0.35">
      <c r="A29" s="3">
        <v>46225</v>
      </c>
    </row>
    <row r="30" spans="1:1" x14ac:dyDescent="0.35">
      <c r="A30" s="3">
        <v>46226</v>
      </c>
    </row>
    <row r="31" spans="1:1" x14ac:dyDescent="0.35">
      <c r="A31" s="3">
        <v>46227</v>
      </c>
    </row>
    <row r="32" spans="1:1" x14ac:dyDescent="0.35">
      <c r="A32" s="3">
        <v>46228</v>
      </c>
    </row>
    <row r="33" spans="1:1" x14ac:dyDescent="0.35">
      <c r="A33" s="3">
        <v>46230</v>
      </c>
    </row>
    <row r="34" spans="1:1" x14ac:dyDescent="0.35">
      <c r="A34" s="3">
        <v>46231</v>
      </c>
    </row>
    <row r="35" spans="1:1" x14ac:dyDescent="0.35">
      <c r="A35" s="3">
        <v>46232</v>
      </c>
    </row>
    <row r="36" spans="1:1" x14ac:dyDescent="0.35">
      <c r="A36" s="3">
        <v>46233</v>
      </c>
    </row>
    <row r="37" spans="1:1" x14ac:dyDescent="0.35">
      <c r="A37" s="3">
        <v>46234</v>
      </c>
    </row>
    <row r="38" spans="1:1" x14ac:dyDescent="0.35">
      <c r="A38" s="3">
        <v>46235</v>
      </c>
    </row>
    <row r="39" spans="1:1" x14ac:dyDescent="0.35">
      <c r="A39" s="3">
        <v>46237</v>
      </c>
    </row>
    <row r="40" spans="1:1" x14ac:dyDescent="0.35">
      <c r="A40" s="3">
        <v>46238</v>
      </c>
    </row>
    <row r="41" spans="1:1" x14ac:dyDescent="0.35">
      <c r="A41" s="3">
        <v>46239</v>
      </c>
    </row>
    <row r="42" spans="1:1" x14ac:dyDescent="0.35">
      <c r="A42" s="3">
        <v>46240</v>
      </c>
    </row>
    <row r="43" spans="1:1" x14ac:dyDescent="0.35">
      <c r="A43" s="3">
        <v>46241</v>
      </c>
    </row>
    <row r="44" spans="1:1" x14ac:dyDescent="0.35">
      <c r="A44" s="3">
        <v>46242</v>
      </c>
    </row>
    <row r="45" spans="1:1" x14ac:dyDescent="0.35">
      <c r="A45" s="3">
        <v>46244</v>
      </c>
    </row>
    <row r="46" spans="1:1" x14ac:dyDescent="0.35">
      <c r="A46" s="3">
        <v>46245</v>
      </c>
    </row>
    <row r="47" spans="1:1" x14ac:dyDescent="0.35">
      <c r="A47" s="3">
        <v>46246</v>
      </c>
    </row>
    <row r="48" spans="1:1" x14ac:dyDescent="0.35">
      <c r="A48" s="3">
        <v>46247</v>
      </c>
    </row>
    <row r="49" spans="1:1" x14ac:dyDescent="0.35">
      <c r="A49" s="3">
        <v>46248</v>
      </c>
    </row>
    <row r="50" spans="1:1" x14ac:dyDescent="0.35">
      <c r="A50" s="3">
        <v>46249</v>
      </c>
    </row>
    <row r="51" spans="1:1" x14ac:dyDescent="0.35">
      <c r="A51" s="3">
        <v>46251</v>
      </c>
    </row>
    <row r="52" spans="1:1" x14ac:dyDescent="0.35">
      <c r="A52" s="3">
        <v>46252</v>
      </c>
    </row>
    <row r="53" spans="1:1" x14ac:dyDescent="0.35">
      <c r="A53" s="3">
        <v>46253</v>
      </c>
    </row>
    <row r="54" spans="1:1" x14ac:dyDescent="0.35">
      <c r="A54" s="3">
        <v>46254</v>
      </c>
    </row>
    <row r="55" spans="1:1" x14ac:dyDescent="0.35">
      <c r="A55" s="3">
        <v>46255</v>
      </c>
    </row>
    <row r="56" spans="1:1" x14ac:dyDescent="0.35">
      <c r="A56" s="3">
        <v>46256</v>
      </c>
    </row>
    <row r="57" spans="1:1" x14ac:dyDescent="0.35">
      <c r="A57" s="3">
        <v>46258</v>
      </c>
    </row>
    <row r="58" spans="1:1" x14ac:dyDescent="0.35">
      <c r="A58" s="3">
        <v>46259</v>
      </c>
    </row>
    <row r="59" spans="1:1" x14ac:dyDescent="0.35">
      <c r="A59" s="3">
        <v>46260</v>
      </c>
    </row>
    <row r="60" spans="1:1" x14ac:dyDescent="0.35">
      <c r="A60" s="3">
        <v>46261</v>
      </c>
    </row>
    <row r="61" spans="1:1" x14ac:dyDescent="0.35">
      <c r="A61" s="3">
        <v>46262</v>
      </c>
    </row>
    <row r="62" spans="1:1" x14ac:dyDescent="0.35">
      <c r="A62" s="3">
        <v>46263</v>
      </c>
    </row>
    <row r="63" spans="1:1" x14ac:dyDescent="0.35">
      <c r="A63" s="3">
        <v>46265</v>
      </c>
    </row>
    <row r="64" spans="1:1" x14ac:dyDescent="0.35">
      <c r="A64" s="3">
        <v>46266</v>
      </c>
    </row>
    <row r="65" spans="1:1" x14ac:dyDescent="0.35">
      <c r="A65" s="3">
        <v>46267</v>
      </c>
    </row>
    <row r="66" spans="1:1" x14ac:dyDescent="0.35">
      <c r="A66" s="3">
        <v>46268</v>
      </c>
    </row>
    <row r="67" spans="1:1" x14ac:dyDescent="0.35">
      <c r="A67" s="3">
        <v>46269</v>
      </c>
    </row>
    <row r="68" spans="1:1" x14ac:dyDescent="0.35">
      <c r="A68" s="3">
        <v>46270</v>
      </c>
    </row>
    <row r="69" spans="1:1" x14ac:dyDescent="0.35">
      <c r="A69" s="3">
        <v>46272</v>
      </c>
    </row>
    <row r="70" spans="1:1" x14ac:dyDescent="0.35">
      <c r="A70" s="3">
        <v>46273</v>
      </c>
    </row>
    <row r="71" spans="1:1" x14ac:dyDescent="0.35">
      <c r="A71" s="3">
        <v>46274</v>
      </c>
    </row>
    <row r="72" spans="1:1" x14ac:dyDescent="0.35">
      <c r="A72" s="3">
        <v>46275</v>
      </c>
    </row>
    <row r="73" spans="1:1" x14ac:dyDescent="0.35">
      <c r="A73" s="3">
        <v>46276</v>
      </c>
    </row>
    <row r="74" spans="1:1" x14ac:dyDescent="0.35">
      <c r="A74" s="3">
        <v>46277</v>
      </c>
    </row>
    <row r="75" spans="1:1" x14ac:dyDescent="0.35">
      <c r="A75" s="3">
        <v>46279</v>
      </c>
    </row>
    <row r="76" spans="1:1" x14ac:dyDescent="0.35">
      <c r="A76" s="3">
        <v>46280</v>
      </c>
    </row>
    <row r="77" spans="1:1" x14ac:dyDescent="0.35">
      <c r="A77" s="3">
        <v>46281</v>
      </c>
    </row>
    <row r="78" spans="1:1" x14ac:dyDescent="0.35">
      <c r="A78" s="3">
        <v>46282</v>
      </c>
    </row>
    <row r="79" spans="1:1" x14ac:dyDescent="0.35">
      <c r="A79" s="3">
        <v>46283</v>
      </c>
    </row>
    <row r="80" spans="1:1" x14ac:dyDescent="0.35">
      <c r="A80" s="3">
        <v>46284</v>
      </c>
    </row>
    <row r="81" spans="1:1" x14ac:dyDescent="0.35">
      <c r="A81" s="3">
        <v>46286</v>
      </c>
    </row>
    <row r="82" spans="1:1" x14ac:dyDescent="0.35">
      <c r="A82" s="3">
        <v>46287</v>
      </c>
    </row>
    <row r="83" spans="1:1" x14ac:dyDescent="0.35">
      <c r="A83" s="3">
        <v>46288</v>
      </c>
    </row>
    <row r="84" spans="1:1" x14ac:dyDescent="0.35">
      <c r="A84" s="3">
        <v>46289</v>
      </c>
    </row>
    <row r="85" spans="1:1" x14ac:dyDescent="0.35">
      <c r="A85" s="3">
        <v>46290</v>
      </c>
    </row>
    <row r="86" spans="1:1" x14ac:dyDescent="0.35">
      <c r="A86" s="3">
        <v>46291</v>
      </c>
    </row>
    <row r="87" spans="1:1" x14ac:dyDescent="0.35">
      <c r="A87" s="3">
        <v>46293</v>
      </c>
    </row>
    <row r="88" spans="1:1" x14ac:dyDescent="0.35">
      <c r="A88" s="3">
        <v>46294</v>
      </c>
    </row>
    <row r="89" spans="1:1" x14ac:dyDescent="0.35">
      <c r="A89" s="3">
        <v>46295</v>
      </c>
    </row>
    <row r="90" spans="1:1" x14ac:dyDescent="0.35">
      <c r="A90" s="3">
        <v>46296</v>
      </c>
    </row>
    <row r="91" spans="1:1" x14ac:dyDescent="0.35">
      <c r="A91" s="3">
        <v>46297</v>
      </c>
    </row>
    <row r="92" spans="1:1" x14ac:dyDescent="0.35">
      <c r="A92" s="3">
        <v>46298</v>
      </c>
    </row>
    <row r="93" spans="1:1" x14ac:dyDescent="0.35">
      <c r="A93" s="3">
        <v>46300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33FF-F521-47F2-B059-46E2CB40201C}">
  <dimension ref="A1:X7"/>
  <sheetViews>
    <sheetView workbookViewId="0">
      <selection activeCell="G6" sqref="G6"/>
    </sheetView>
  </sheetViews>
  <sheetFormatPr defaultRowHeight="14.5" x14ac:dyDescent="0.35"/>
  <cols>
    <col min="1" max="1" width="19.1796875" bestFit="1" customWidth="1"/>
  </cols>
  <sheetData>
    <row r="1" spans="1:24" x14ac:dyDescent="0.35">
      <c r="A1" t="s">
        <v>257</v>
      </c>
    </row>
    <row r="3" spans="1:24" x14ac:dyDescent="0.35">
      <c r="A3" s="8"/>
      <c r="B3" s="8" t="s">
        <v>258</v>
      </c>
      <c r="C3" s="14">
        <v>45658</v>
      </c>
      <c r="D3" s="14">
        <v>45689</v>
      </c>
      <c r="E3" s="14">
        <v>45717</v>
      </c>
      <c r="F3" s="14">
        <v>45748</v>
      </c>
      <c r="G3" s="14">
        <v>45778</v>
      </c>
      <c r="H3" s="14">
        <v>45809</v>
      </c>
      <c r="I3" s="14">
        <v>45839</v>
      </c>
      <c r="J3" s="14">
        <v>45870</v>
      </c>
      <c r="K3" s="14">
        <v>45901</v>
      </c>
      <c r="L3" s="14">
        <v>45931</v>
      </c>
      <c r="M3" s="14">
        <v>45962</v>
      </c>
      <c r="N3" s="14">
        <v>45992</v>
      </c>
      <c r="O3" s="14">
        <v>46023</v>
      </c>
      <c r="P3" s="14">
        <v>46055</v>
      </c>
      <c r="Q3" s="14">
        <v>46087</v>
      </c>
      <c r="R3" s="14">
        <v>46119</v>
      </c>
      <c r="S3" s="14">
        <v>46151</v>
      </c>
      <c r="T3" s="14">
        <v>46183</v>
      </c>
      <c r="U3" s="14">
        <v>46215</v>
      </c>
      <c r="V3" s="14">
        <v>46247</v>
      </c>
      <c r="W3" s="14">
        <v>46279</v>
      </c>
      <c r="X3" s="14">
        <v>46311</v>
      </c>
    </row>
    <row r="4" spans="1:24" x14ac:dyDescent="0.35">
      <c r="A4" s="103" t="s">
        <v>259</v>
      </c>
      <c r="B4" s="8" t="s">
        <v>260</v>
      </c>
      <c r="C4" s="8">
        <f>200*9</f>
        <v>1800</v>
      </c>
      <c r="D4" s="8">
        <f t="shared" ref="D4:X4" si="0">200*9</f>
        <v>1800</v>
      </c>
      <c r="E4" s="8">
        <f t="shared" si="0"/>
        <v>1800</v>
      </c>
      <c r="F4" s="8">
        <f t="shared" si="0"/>
        <v>1800</v>
      </c>
      <c r="G4" s="8">
        <f t="shared" si="0"/>
        <v>1800</v>
      </c>
      <c r="H4" s="8">
        <f t="shared" si="0"/>
        <v>1800</v>
      </c>
      <c r="I4" s="8">
        <f t="shared" si="0"/>
        <v>1800</v>
      </c>
      <c r="J4" s="8">
        <f t="shared" si="0"/>
        <v>1800</v>
      </c>
      <c r="K4" s="8">
        <f t="shared" si="0"/>
        <v>1800</v>
      </c>
      <c r="L4" s="8">
        <f t="shared" si="0"/>
        <v>1800</v>
      </c>
      <c r="M4" s="8">
        <f t="shared" si="0"/>
        <v>1800</v>
      </c>
      <c r="N4" s="8">
        <f t="shared" si="0"/>
        <v>1800</v>
      </c>
      <c r="O4" s="8">
        <f t="shared" si="0"/>
        <v>1800</v>
      </c>
      <c r="P4" s="8">
        <f t="shared" si="0"/>
        <v>1800</v>
      </c>
      <c r="Q4" s="8">
        <f t="shared" si="0"/>
        <v>1800</v>
      </c>
      <c r="R4" s="8">
        <f t="shared" si="0"/>
        <v>1800</v>
      </c>
      <c r="S4" s="8">
        <f t="shared" si="0"/>
        <v>1800</v>
      </c>
      <c r="T4" s="8">
        <f t="shared" si="0"/>
        <v>1800</v>
      </c>
      <c r="U4" s="8">
        <f t="shared" si="0"/>
        <v>1800</v>
      </c>
      <c r="V4" s="8">
        <f t="shared" si="0"/>
        <v>1800</v>
      </c>
      <c r="W4" s="8">
        <f t="shared" si="0"/>
        <v>1800</v>
      </c>
      <c r="X4" s="8">
        <f t="shared" si="0"/>
        <v>1800</v>
      </c>
    </row>
    <row r="5" spans="1:24" x14ac:dyDescent="0.35">
      <c r="A5" s="103"/>
      <c r="B5" s="8" t="s">
        <v>261</v>
      </c>
      <c r="C5" s="13">
        <f>C4*1.79</f>
        <v>3222</v>
      </c>
      <c r="D5" s="13">
        <f t="shared" ref="D5:X5" si="1">D4*1.79</f>
        <v>3222</v>
      </c>
      <c r="E5" s="13">
        <f t="shared" si="1"/>
        <v>3222</v>
      </c>
      <c r="F5" s="13">
        <f t="shared" si="1"/>
        <v>3222</v>
      </c>
      <c r="G5" s="13">
        <f t="shared" si="1"/>
        <v>3222</v>
      </c>
      <c r="H5" s="13">
        <f t="shared" si="1"/>
        <v>3222</v>
      </c>
      <c r="I5" s="13">
        <f t="shared" si="1"/>
        <v>3222</v>
      </c>
      <c r="J5" s="13">
        <f t="shared" si="1"/>
        <v>3222</v>
      </c>
      <c r="K5" s="13">
        <f t="shared" si="1"/>
        <v>3222</v>
      </c>
      <c r="L5" s="13">
        <f t="shared" si="1"/>
        <v>3222</v>
      </c>
      <c r="M5" s="13">
        <f t="shared" si="1"/>
        <v>3222</v>
      </c>
      <c r="N5" s="13">
        <f t="shared" si="1"/>
        <v>3222</v>
      </c>
      <c r="O5" s="13">
        <f t="shared" si="1"/>
        <v>3222</v>
      </c>
      <c r="P5" s="13">
        <f t="shared" si="1"/>
        <v>3222</v>
      </c>
      <c r="Q5" s="13">
        <f t="shared" si="1"/>
        <v>3222</v>
      </c>
      <c r="R5" s="13">
        <f t="shared" si="1"/>
        <v>3222</v>
      </c>
      <c r="S5" s="13">
        <f t="shared" si="1"/>
        <v>3222</v>
      </c>
      <c r="T5" s="13">
        <f t="shared" si="1"/>
        <v>3222</v>
      </c>
      <c r="U5" s="13">
        <f t="shared" si="1"/>
        <v>3222</v>
      </c>
      <c r="V5" s="13">
        <f t="shared" si="1"/>
        <v>3222</v>
      </c>
      <c r="W5" s="13">
        <f t="shared" si="1"/>
        <v>3222</v>
      </c>
      <c r="X5" s="13">
        <f t="shared" si="1"/>
        <v>3222</v>
      </c>
    </row>
    <row r="6" spans="1:24" x14ac:dyDescent="0.35">
      <c r="A6" s="103" t="s">
        <v>262</v>
      </c>
      <c r="B6" s="8" t="s">
        <v>260</v>
      </c>
      <c r="C6" s="8">
        <v>938</v>
      </c>
      <c r="D6" s="8">
        <v>3750</v>
      </c>
      <c r="E6" s="8">
        <v>1565</v>
      </c>
      <c r="F6" s="8">
        <v>1375</v>
      </c>
      <c r="G6" s="8">
        <v>1565</v>
      </c>
      <c r="H6" s="8">
        <v>1562</v>
      </c>
      <c r="I6" s="8">
        <v>1565</v>
      </c>
      <c r="J6" s="8">
        <v>630</v>
      </c>
      <c r="K6" s="8">
        <v>938</v>
      </c>
      <c r="L6" s="8">
        <v>350</v>
      </c>
      <c r="M6" s="8">
        <v>315</v>
      </c>
      <c r="N6" s="8">
        <v>315</v>
      </c>
      <c r="O6" s="8">
        <v>630</v>
      </c>
      <c r="P6" s="8">
        <v>650</v>
      </c>
      <c r="Q6" s="8">
        <v>650</v>
      </c>
      <c r="R6" s="8">
        <v>650</v>
      </c>
      <c r="S6" s="8">
        <v>345</v>
      </c>
      <c r="T6" s="8">
        <v>650</v>
      </c>
      <c r="U6" s="8"/>
      <c r="V6" s="8"/>
      <c r="W6" s="8"/>
      <c r="X6" s="8"/>
    </row>
    <row r="7" spans="1:24" x14ac:dyDescent="0.35">
      <c r="A7" s="103"/>
      <c r="B7" s="8" t="s">
        <v>261</v>
      </c>
      <c r="C7" s="13">
        <f t="shared" ref="C7:T7" si="2">C6*1.79</f>
        <v>1679.02</v>
      </c>
      <c r="D7" s="13">
        <f t="shared" si="2"/>
        <v>6712.5</v>
      </c>
      <c r="E7" s="13">
        <f t="shared" si="2"/>
        <v>2801.35</v>
      </c>
      <c r="F7" s="13">
        <f t="shared" si="2"/>
        <v>2461.25</v>
      </c>
      <c r="G7" s="13">
        <f t="shared" si="2"/>
        <v>2801.35</v>
      </c>
      <c r="H7" s="13">
        <f t="shared" si="2"/>
        <v>2795.98</v>
      </c>
      <c r="I7" s="13">
        <f t="shared" si="2"/>
        <v>2801.35</v>
      </c>
      <c r="J7" s="13">
        <f t="shared" si="2"/>
        <v>1127.7</v>
      </c>
      <c r="K7" s="13">
        <f t="shared" si="2"/>
        <v>1679.02</v>
      </c>
      <c r="L7" s="13">
        <f t="shared" si="2"/>
        <v>626.5</v>
      </c>
      <c r="M7" s="13">
        <f t="shared" si="2"/>
        <v>563.85</v>
      </c>
      <c r="N7" s="13">
        <f t="shared" si="2"/>
        <v>563.85</v>
      </c>
      <c r="O7" s="13">
        <f t="shared" si="2"/>
        <v>1127.7</v>
      </c>
      <c r="P7" s="13">
        <f t="shared" si="2"/>
        <v>1163.5</v>
      </c>
      <c r="Q7" s="13">
        <f t="shared" si="2"/>
        <v>1163.5</v>
      </c>
      <c r="R7" s="13">
        <f t="shared" si="2"/>
        <v>1163.5</v>
      </c>
      <c r="S7" s="13">
        <f t="shared" si="2"/>
        <v>617.55000000000007</v>
      </c>
      <c r="T7" s="13">
        <f t="shared" si="2"/>
        <v>1163.5</v>
      </c>
      <c r="U7" s="8"/>
      <c r="V7" s="8"/>
      <c r="W7" s="8"/>
      <c r="X7" s="8"/>
    </row>
  </sheetData>
  <mergeCells count="2">
    <mergeCell ref="A6:A7"/>
    <mergeCell ref="A4:A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4074-D31F-4D9C-A688-7F06C229407E}">
  <dimension ref="A3:A4"/>
  <sheetViews>
    <sheetView workbookViewId="0">
      <selection activeCell="A4" sqref="A4"/>
    </sheetView>
  </sheetViews>
  <sheetFormatPr defaultRowHeight="14.5" x14ac:dyDescent="0.35"/>
  <cols>
    <col min="1" max="1" width="12.1796875" bestFit="1" customWidth="1"/>
  </cols>
  <sheetData>
    <row r="3" spans="1:1" x14ac:dyDescent="0.35">
      <c r="A3" t="s">
        <v>263</v>
      </c>
    </row>
    <row r="4" spans="1:1" x14ac:dyDescent="0.35">
      <c r="A4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2D8D-66E5-4CC4-AE6C-3D3454365078}">
  <dimension ref="A1:I203"/>
  <sheetViews>
    <sheetView topLeftCell="A90" workbookViewId="0">
      <selection activeCell="D113" sqref="D113"/>
    </sheetView>
  </sheetViews>
  <sheetFormatPr defaultRowHeight="14.5" x14ac:dyDescent="0.35"/>
  <cols>
    <col min="1" max="1" width="7.7265625" customWidth="1"/>
    <col min="2" max="2" width="14.81640625" style="1" customWidth="1"/>
    <col min="3" max="3" width="11.1796875" bestFit="1" customWidth="1"/>
    <col min="4" max="4" width="11.1796875" customWidth="1"/>
    <col min="5" max="5" width="34" bestFit="1" customWidth="1"/>
    <col min="6" max="6" width="31.26953125" customWidth="1"/>
    <col min="7" max="7" width="21.81640625" customWidth="1"/>
    <col min="8" max="8" width="17.453125" style="1" bestFit="1" customWidth="1"/>
    <col min="9" max="9" width="8" customWidth="1"/>
  </cols>
  <sheetData>
    <row r="1" spans="1:9" ht="16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264</v>
      </c>
      <c r="I1" s="23" t="s">
        <v>265</v>
      </c>
    </row>
    <row r="2" spans="1:9" x14ac:dyDescent="0.35">
      <c r="A2" s="7">
        <v>1</v>
      </c>
      <c r="B2" s="7" t="s">
        <v>11</v>
      </c>
      <c r="C2" s="7" t="s">
        <v>12</v>
      </c>
      <c r="D2" s="7" t="s">
        <v>9</v>
      </c>
      <c r="E2" s="7" t="s">
        <v>9</v>
      </c>
      <c r="F2" s="7" t="s">
        <v>13</v>
      </c>
      <c r="G2" s="8"/>
      <c r="H2" s="7" t="s">
        <v>266</v>
      </c>
      <c r="I2">
        <v>1</v>
      </c>
    </row>
    <row r="3" spans="1:9" x14ac:dyDescent="0.35">
      <c r="A3" s="7">
        <v>2</v>
      </c>
      <c r="B3" s="7" t="s">
        <v>19</v>
      </c>
      <c r="C3" s="7" t="s">
        <v>12</v>
      </c>
      <c r="D3" s="7" t="s">
        <v>9</v>
      </c>
      <c r="E3" s="7" t="s">
        <v>9</v>
      </c>
      <c r="F3" s="7" t="s">
        <v>13</v>
      </c>
      <c r="G3" s="8"/>
      <c r="H3" s="7" t="s">
        <v>266</v>
      </c>
      <c r="I3">
        <v>1</v>
      </c>
    </row>
    <row r="4" spans="1:9" x14ac:dyDescent="0.35">
      <c r="A4" s="7">
        <v>3</v>
      </c>
      <c r="B4" s="7" t="s">
        <v>22</v>
      </c>
      <c r="C4" s="7" t="s">
        <v>12</v>
      </c>
      <c r="D4" s="7" t="s">
        <v>9</v>
      </c>
      <c r="E4" s="7" t="s">
        <v>9</v>
      </c>
      <c r="F4" s="7" t="s">
        <v>13</v>
      </c>
      <c r="G4" s="8"/>
      <c r="H4" s="7" t="s">
        <v>266</v>
      </c>
      <c r="I4">
        <v>1</v>
      </c>
    </row>
    <row r="5" spans="1:9" x14ac:dyDescent="0.35">
      <c r="A5" s="7">
        <v>4</v>
      </c>
      <c r="B5" s="7" t="s">
        <v>28</v>
      </c>
      <c r="C5" s="7" t="s">
        <v>12</v>
      </c>
      <c r="D5" s="7" t="s">
        <v>9</v>
      </c>
      <c r="E5" s="7" t="s">
        <v>9</v>
      </c>
      <c r="F5" s="7" t="s">
        <v>13</v>
      </c>
      <c r="G5" s="8"/>
      <c r="H5" s="7" t="s">
        <v>266</v>
      </c>
      <c r="I5">
        <v>1</v>
      </c>
    </row>
    <row r="6" spans="1:9" x14ac:dyDescent="0.35">
      <c r="A6" s="7">
        <v>5</v>
      </c>
      <c r="B6" s="7" t="s">
        <v>33</v>
      </c>
      <c r="C6" s="7" t="s">
        <v>12</v>
      </c>
      <c r="D6" s="7" t="s">
        <v>9</v>
      </c>
      <c r="E6" s="7" t="s">
        <v>9</v>
      </c>
      <c r="F6" s="7" t="s">
        <v>13</v>
      </c>
      <c r="G6" s="8"/>
      <c r="H6" s="7" t="s">
        <v>266</v>
      </c>
      <c r="I6">
        <v>1</v>
      </c>
    </row>
    <row r="7" spans="1:9" x14ac:dyDescent="0.35">
      <c r="A7" s="7">
        <v>6</v>
      </c>
      <c r="B7" s="7" t="s">
        <v>36</v>
      </c>
      <c r="C7" s="7" t="s">
        <v>12</v>
      </c>
      <c r="D7" s="7" t="s">
        <v>9</v>
      </c>
      <c r="E7" s="7" t="s">
        <v>9</v>
      </c>
      <c r="F7" s="7" t="s">
        <v>13</v>
      </c>
      <c r="G7" s="8"/>
      <c r="H7" s="7" t="s">
        <v>266</v>
      </c>
      <c r="I7">
        <v>1</v>
      </c>
    </row>
    <row r="8" spans="1:9" x14ac:dyDescent="0.35">
      <c r="A8" s="7">
        <v>7</v>
      </c>
      <c r="B8" s="7" t="s">
        <v>41</v>
      </c>
      <c r="C8" s="7" t="s">
        <v>12</v>
      </c>
      <c r="D8" s="7" t="s">
        <v>9</v>
      </c>
      <c r="E8" s="7" t="s">
        <v>9</v>
      </c>
      <c r="F8" s="7" t="s">
        <v>13</v>
      </c>
      <c r="G8" s="8"/>
      <c r="H8" s="7" t="s">
        <v>266</v>
      </c>
      <c r="I8">
        <v>1</v>
      </c>
    </row>
    <row r="9" spans="1:9" x14ac:dyDescent="0.35">
      <c r="A9" s="7">
        <v>8</v>
      </c>
      <c r="B9" s="7" t="s">
        <v>44</v>
      </c>
      <c r="C9" s="7" t="s">
        <v>12</v>
      </c>
      <c r="D9" s="7" t="s">
        <v>9</v>
      </c>
      <c r="E9" s="7" t="s">
        <v>9</v>
      </c>
      <c r="F9" s="7" t="s">
        <v>13</v>
      </c>
      <c r="G9" s="8"/>
      <c r="H9" s="7" t="s">
        <v>266</v>
      </c>
      <c r="I9">
        <v>1</v>
      </c>
    </row>
    <row r="10" spans="1:9" x14ac:dyDescent="0.35">
      <c r="A10" s="7">
        <v>9</v>
      </c>
      <c r="B10" s="7" t="s">
        <v>47</v>
      </c>
      <c r="C10" s="7" t="s">
        <v>12</v>
      </c>
      <c r="D10" s="7" t="s">
        <v>9</v>
      </c>
      <c r="E10" s="7" t="s">
        <v>9</v>
      </c>
      <c r="F10" s="7" t="s">
        <v>13</v>
      </c>
      <c r="G10" s="8"/>
      <c r="H10" s="7" t="s">
        <v>266</v>
      </c>
      <c r="I10">
        <v>1</v>
      </c>
    </row>
    <row r="11" spans="1:9" x14ac:dyDescent="0.35">
      <c r="A11" s="7">
        <v>10</v>
      </c>
      <c r="B11" s="7" t="s">
        <v>50</v>
      </c>
      <c r="C11" s="7" t="s">
        <v>12</v>
      </c>
      <c r="D11" s="7" t="s">
        <v>9</v>
      </c>
      <c r="E11" s="7" t="s">
        <v>9</v>
      </c>
      <c r="F11" s="7" t="s">
        <v>13</v>
      </c>
      <c r="G11" s="8"/>
      <c r="H11" s="7" t="s">
        <v>266</v>
      </c>
      <c r="I11">
        <v>1</v>
      </c>
    </row>
    <row r="12" spans="1:9" x14ac:dyDescent="0.35">
      <c r="A12" s="7">
        <v>28</v>
      </c>
      <c r="B12" s="7" t="s">
        <v>51</v>
      </c>
      <c r="C12" s="7" t="s">
        <v>29</v>
      </c>
      <c r="D12" s="7" t="s">
        <v>9</v>
      </c>
      <c r="E12" s="7" t="s">
        <v>52</v>
      </c>
      <c r="F12" s="7" t="s">
        <v>27</v>
      </c>
      <c r="G12" s="8"/>
      <c r="H12" s="7" t="s">
        <v>266</v>
      </c>
      <c r="I12">
        <v>1</v>
      </c>
    </row>
    <row r="13" spans="1:9" x14ac:dyDescent="0.35">
      <c r="A13" s="7">
        <v>29</v>
      </c>
      <c r="B13" s="7" t="s">
        <v>55</v>
      </c>
      <c r="C13" s="7" t="s">
        <v>29</v>
      </c>
      <c r="D13" s="7" t="s">
        <v>8</v>
      </c>
      <c r="E13" s="7" t="s">
        <v>56</v>
      </c>
      <c r="F13" s="7" t="s">
        <v>27</v>
      </c>
      <c r="G13" s="21">
        <v>46197</v>
      </c>
      <c r="H13" s="7" t="s">
        <v>266</v>
      </c>
      <c r="I13">
        <v>1</v>
      </c>
    </row>
    <row r="14" spans="1:9" x14ac:dyDescent="0.35">
      <c r="A14" s="7">
        <v>30</v>
      </c>
      <c r="B14" s="7" t="s">
        <v>59</v>
      </c>
      <c r="C14" s="7" t="s">
        <v>21</v>
      </c>
      <c r="D14" s="7" t="s">
        <v>8</v>
      </c>
      <c r="E14" s="7" t="s">
        <v>60</v>
      </c>
      <c r="F14" s="7" t="s">
        <v>27</v>
      </c>
      <c r="G14" s="8"/>
      <c r="H14" s="7" t="s">
        <v>266</v>
      </c>
      <c r="I14">
        <v>1</v>
      </c>
    </row>
    <row r="15" spans="1:9" x14ac:dyDescent="0.35">
      <c r="A15" s="7">
        <v>31</v>
      </c>
      <c r="B15" s="7" t="s">
        <v>62</v>
      </c>
      <c r="C15" s="7" t="s">
        <v>29</v>
      </c>
      <c r="D15" s="7" t="s">
        <v>9</v>
      </c>
      <c r="E15" s="7" t="s">
        <v>52</v>
      </c>
      <c r="F15" s="7" t="s">
        <v>27</v>
      </c>
      <c r="G15" s="8"/>
      <c r="H15" s="7" t="s">
        <v>266</v>
      </c>
      <c r="I15">
        <v>1</v>
      </c>
    </row>
    <row r="16" spans="1:9" x14ac:dyDescent="0.35">
      <c r="A16" s="7">
        <v>32</v>
      </c>
      <c r="B16" s="7" t="s">
        <v>64</v>
      </c>
      <c r="C16" s="7" t="s">
        <v>31</v>
      </c>
      <c r="D16" s="7" t="s">
        <v>9</v>
      </c>
      <c r="E16" s="7" t="s">
        <v>52</v>
      </c>
      <c r="F16" s="7" t="s">
        <v>27</v>
      </c>
      <c r="G16" s="8"/>
      <c r="H16" s="10" t="s">
        <v>24</v>
      </c>
      <c r="I16">
        <v>1</v>
      </c>
    </row>
    <row r="17" spans="1:9" x14ac:dyDescent="0.35">
      <c r="A17" s="7">
        <v>33</v>
      </c>
      <c r="B17" s="7" t="s">
        <v>66</v>
      </c>
      <c r="C17" s="7" t="s">
        <v>21</v>
      </c>
      <c r="D17" s="7" t="s">
        <v>9</v>
      </c>
      <c r="E17" s="7" t="s">
        <v>9</v>
      </c>
      <c r="F17" s="7" t="s">
        <v>27</v>
      </c>
      <c r="G17" s="8"/>
      <c r="H17" s="7" t="s">
        <v>266</v>
      </c>
      <c r="I17">
        <v>1</v>
      </c>
    </row>
    <row r="18" spans="1:9" x14ac:dyDescent="0.35">
      <c r="A18" s="7">
        <v>34</v>
      </c>
      <c r="B18" s="7" t="s">
        <v>68</v>
      </c>
      <c r="C18" s="7" t="s">
        <v>21</v>
      </c>
      <c r="D18" s="7" t="s">
        <v>9</v>
      </c>
      <c r="E18" s="7" t="s">
        <v>9</v>
      </c>
      <c r="F18" s="7" t="s">
        <v>27</v>
      </c>
      <c r="G18" s="21"/>
      <c r="H18" s="7" t="s">
        <v>266</v>
      </c>
      <c r="I18">
        <v>1</v>
      </c>
    </row>
    <row r="19" spans="1:9" x14ac:dyDescent="0.35">
      <c r="A19" s="7">
        <v>35</v>
      </c>
      <c r="B19" s="7" t="s">
        <v>70</v>
      </c>
      <c r="C19" s="7" t="s">
        <v>39</v>
      </c>
      <c r="D19" s="7" t="s">
        <v>9</v>
      </c>
      <c r="E19" s="7" t="s">
        <v>9</v>
      </c>
      <c r="F19" s="7" t="s">
        <v>27</v>
      </c>
      <c r="G19" s="21"/>
      <c r="H19" s="10" t="s">
        <v>266</v>
      </c>
      <c r="I19">
        <v>1</v>
      </c>
    </row>
    <row r="20" spans="1:9" x14ac:dyDescent="0.35">
      <c r="A20" s="7">
        <v>36</v>
      </c>
      <c r="B20" s="7" t="s">
        <v>72</v>
      </c>
      <c r="C20" s="7" t="s">
        <v>21</v>
      </c>
      <c r="D20" s="7" t="s">
        <v>8</v>
      </c>
      <c r="E20" s="7" t="s">
        <v>60</v>
      </c>
      <c r="F20" s="7" t="s">
        <v>27</v>
      </c>
      <c r="G20" s="21">
        <v>46197</v>
      </c>
      <c r="H20" s="7" t="s">
        <v>266</v>
      </c>
      <c r="I20">
        <v>1</v>
      </c>
    </row>
    <row r="21" spans="1:9" x14ac:dyDescent="0.35">
      <c r="A21" s="7">
        <v>37</v>
      </c>
      <c r="B21" s="7" t="s">
        <v>74</v>
      </c>
      <c r="C21" s="7" t="s">
        <v>21</v>
      </c>
      <c r="D21" s="7" t="s">
        <v>8</v>
      </c>
      <c r="E21" s="7" t="s">
        <v>56</v>
      </c>
      <c r="F21" s="7" t="s">
        <v>27</v>
      </c>
      <c r="G21" s="8"/>
      <c r="H21" s="7" t="s">
        <v>266</v>
      </c>
      <c r="I21">
        <v>1</v>
      </c>
    </row>
    <row r="22" spans="1:9" x14ac:dyDescent="0.35">
      <c r="A22" s="7">
        <v>38</v>
      </c>
      <c r="B22" s="7" t="s">
        <v>76</v>
      </c>
      <c r="C22" s="7" t="s">
        <v>29</v>
      </c>
      <c r="D22" s="7" t="s">
        <v>9</v>
      </c>
      <c r="E22" s="7" t="s">
        <v>52</v>
      </c>
      <c r="F22" s="7" t="s">
        <v>27</v>
      </c>
      <c r="G22" s="8"/>
      <c r="H22" s="7" t="s">
        <v>266</v>
      </c>
      <c r="I22">
        <v>1</v>
      </c>
    </row>
    <row r="23" spans="1:9" x14ac:dyDescent="0.35">
      <c r="A23" s="7">
        <v>39</v>
      </c>
      <c r="B23" s="7" t="s">
        <v>77</v>
      </c>
      <c r="C23" s="7" t="s">
        <v>21</v>
      </c>
      <c r="D23" s="7" t="s">
        <v>9</v>
      </c>
      <c r="E23" s="7" t="s">
        <v>52</v>
      </c>
      <c r="F23" s="7" t="s">
        <v>27</v>
      </c>
      <c r="G23" s="8"/>
      <c r="H23" s="7" t="s">
        <v>266</v>
      </c>
      <c r="I23">
        <v>1</v>
      </c>
    </row>
    <row r="24" spans="1:9" x14ac:dyDescent="0.35">
      <c r="A24" s="7">
        <v>40</v>
      </c>
      <c r="B24" s="7" t="s">
        <v>78</v>
      </c>
      <c r="C24" s="7" t="s">
        <v>21</v>
      </c>
      <c r="D24" s="7" t="s">
        <v>9</v>
      </c>
      <c r="E24" s="7" t="s">
        <v>52</v>
      </c>
      <c r="F24" s="7" t="s">
        <v>27</v>
      </c>
      <c r="G24" s="8"/>
      <c r="H24" s="7" t="s">
        <v>266</v>
      </c>
      <c r="I24">
        <v>1</v>
      </c>
    </row>
    <row r="25" spans="1:9" x14ac:dyDescent="0.35">
      <c r="A25" s="7">
        <v>41</v>
      </c>
      <c r="B25" s="7" t="s">
        <v>51</v>
      </c>
      <c r="C25" s="7" t="s">
        <v>80</v>
      </c>
      <c r="D25" s="7" t="s">
        <v>8</v>
      </c>
      <c r="E25" s="7" t="s">
        <v>60</v>
      </c>
      <c r="F25" s="7" t="s">
        <v>27</v>
      </c>
      <c r="G25" s="8"/>
      <c r="H25" s="7" t="s">
        <v>266</v>
      </c>
      <c r="I25">
        <v>1</v>
      </c>
    </row>
    <row r="26" spans="1:9" x14ac:dyDescent="0.35">
      <c r="A26" s="7">
        <v>42</v>
      </c>
      <c r="B26" s="7" t="s">
        <v>51</v>
      </c>
      <c r="C26" s="7" t="s">
        <v>35</v>
      </c>
      <c r="D26" s="7" t="s">
        <v>9</v>
      </c>
      <c r="E26" s="7" t="s">
        <v>52</v>
      </c>
      <c r="F26" s="7" t="s">
        <v>27</v>
      </c>
      <c r="G26" s="8"/>
      <c r="H26" s="10" t="s">
        <v>25</v>
      </c>
      <c r="I26">
        <v>1</v>
      </c>
    </row>
    <row r="27" spans="1:9" x14ac:dyDescent="0.35">
      <c r="A27" s="7">
        <v>43</v>
      </c>
      <c r="B27" s="7" t="s">
        <v>51</v>
      </c>
      <c r="C27" s="7" t="s">
        <v>21</v>
      </c>
      <c r="D27" s="7" t="s">
        <v>8</v>
      </c>
      <c r="E27" s="7" t="s">
        <v>81</v>
      </c>
      <c r="F27" s="7" t="s">
        <v>27</v>
      </c>
      <c r="G27" s="8"/>
      <c r="H27" s="7" t="s">
        <v>266</v>
      </c>
      <c r="I27">
        <v>1</v>
      </c>
    </row>
    <row r="28" spans="1:9" x14ac:dyDescent="0.35">
      <c r="A28" s="7">
        <v>44</v>
      </c>
      <c r="B28" s="7" t="s">
        <v>82</v>
      </c>
      <c r="C28" s="7" t="s">
        <v>54</v>
      </c>
      <c r="D28" s="7" t="s">
        <v>8</v>
      </c>
      <c r="E28" s="7" t="s">
        <v>83</v>
      </c>
      <c r="F28" s="7" t="s">
        <v>32</v>
      </c>
      <c r="G28" s="8"/>
      <c r="H28" s="10" t="s">
        <v>25</v>
      </c>
      <c r="I28">
        <v>1</v>
      </c>
    </row>
    <row r="29" spans="1:9" x14ac:dyDescent="0.35">
      <c r="A29" s="7">
        <v>45</v>
      </c>
      <c r="B29" s="7" t="s">
        <v>84</v>
      </c>
      <c r="C29" s="7"/>
      <c r="D29" s="7" t="s">
        <v>8</v>
      </c>
      <c r="E29" s="7" t="s">
        <v>83</v>
      </c>
      <c r="F29" s="7" t="s">
        <v>32</v>
      </c>
      <c r="G29" s="8"/>
      <c r="H29" s="10" t="s">
        <v>25</v>
      </c>
      <c r="I29">
        <v>1</v>
      </c>
    </row>
    <row r="30" spans="1:9" x14ac:dyDescent="0.35">
      <c r="A30" s="7">
        <v>46</v>
      </c>
      <c r="B30" s="7" t="s">
        <v>86</v>
      </c>
      <c r="C30" s="7" t="s">
        <v>31</v>
      </c>
      <c r="D30" s="7" t="s">
        <v>9</v>
      </c>
      <c r="E30" s="7" t="s">
        <v>87</v>
      </c>
      <c r="F30" s="7" t="s">
        <v>32</v>
      </c>
      <c r="G30" s="8"/>
      <c r="H30" s="10" t="s">
        <v>25</v>
      </c>
      <c r="I30">
        <v>1</v>
      </c>
    </row>
    <row r="31" spans="1:9" x14ac:dyDescent="0.35">
      <c r="A31" s="7">
        <v>47</v>
      </c>
      <c r="B31" s="7" t="s">
        <v>88</v>
      </c>
      <c r="C31" s="7" t="s">
        <v>37</v>
      </c>
      <c r="D31" s="7" t="s">
        <v>9</v>
      </c>
      <c r="E31" s="7" t="s">
        <v>52</v>
      </c>
      <c r="F31" s="7" t="s">
        <v>32</v>
      </c>
      <c r="G31" s="8"/>
      <c r="H31" s="10" t="s">
        <v>25</v>
      </c>
      <c r="I31">
        <v>1</v>
      </c>
    </row>
    <row r="32" spans="1:9" x14ac:dyDescent="0.35">
      <c r="A32" s="7">
        <v>48</v>
      </c>
      <c r="B32" s="7" t="s">
        <v>89</v>
      </c>
      <c r="C32" s="7" t="s">
        <v>69</v>
      </c>
      <c r="D32" s="7" t="s">
        <v>8</v>
      </c>
      <c r="E32" s="7" t="s">
        <v>83</v>
      </c>
      <c r="F32" s="7" t="s">
        <v>32</v>
      </c>
      <c r="G32" s="8"/>
      <c r="H32" s="10" t="s">
        <v>24</v>
      </c>
      <c r="I32">
        <v>1</v>
      </c>
    </row>
    <row r="33" spans="1:9" x14ac:dyDescent="0.35">
      <c r="A33" s="7">
        <v>49</v>
      </c>
      <c r="B33" s="7" t="s">
        <v>91</v>
      </c>
      <c r="C33" s="7" t="s">
        <v>45</v>
      </c>
      <c r="D33" s="7" t="s">
        <v>9</v>
      </c>
      <c r="E33" s="7" t="s">
        <v>52</v>
      </c>
      <c r="F33" s="7" t="s">
        <v>32</v>
      </c>
      <c r="G33" s="8"/>
      <c r="H33" s="10" t="s">
        <v>25</v>
      </c>
      <c r="I33">
        <v>1</v>
      </c>
    </row>
    <row r="34" spans="1:9" x14ac:dyDescent="0.35">
      <c r="A34" s="7">
        <v>50</v>
      </c>
      <c r="B34" s="7" t="s">
        <v>93</v>
      </c>
      <c r="C34" s="7" t="s">
        <v>53</v>
      </c>
      <c r="D34" s="7" t="s">
        <v>9</v>
      </c>
      <c r="E34" s="7" t="s">
        <v>52</v>
      </c>
      <c r="F34" s="7" t="s">
        <v>32</v>
      </c>
      <c r="G34" s="8"/>
      <c r="H34" s="10" t="s">
        <v>25</v>
      </c>
      <c r="I34">
        <v>1</v>
      </c>
    </row>
    <row r="35" spans="1:9" x14ac:dyDescent="0.35">
      <c r="A35" s="7">
        <v>51</v>
      </c>
      <c r="B35" s="7" t="s">
        <v>94</v>
      </c>
      <c r="C35" s="7" t="s">
        <v>23</v>
      </c>
      <c r="D35" s="7" t="s">
        <v>9</v>
      </c>
      <c r="E35" s="7" t="s">
        <v>52</v>
      </c>
      <c r="F35" s="7" t="s">
        <v>32</v>
      </c>
      <c r="G35" s="8"/>
      <c r="H35" s="10" t="s">
        <v>25</v>
      </c>
      <c r="I35">
        <v>1</v>
      </c>
    </row>
    <row r="36" spans="1:9" x14ac:dyDescent="0.35">
      <c r="A36" s="7">
        <v>52</v>
      </c>
      <c r="B36" s="7" t="s">
        <v>96</v>
      </c>
      <c r="C36" s="7" t="s">
        <v>37</v>
      </c>
      <c r="D36" s="7" t="s">
        <v>8</v>
      </c>
      <c r="E36" s="7" t="s">
        <v>83</v>
      </c>
      <c r="F36" s="7" t="s">
        <v>32</v>
      </c>
      <c r="G36" s="8"/>
      <c r="H36" s="10" t="s">
        <v>25</v>
      </c>
      <c r="I36">
        <v>1</v>
      </c>
    </row>
    <row r="37" spans="1:9" x14ac:dyDescent="0.35">
      <c r="A37" s="7">
        <v>53</v>
      </c>
      <c r="B37" s="7" t="s">
        <v>97</v>
      </c>
      <c r="C37" s="7" t="s">
        <v>49</v>
      </c>
      <c r="D37" s="7" t="s">
        <v>9</v>
      </c>
      <c r="E37" s="7" t="s">
        <v>98</v>
      </c>
      <c r="F37" s="7" t="s">
        <v>32</v>
      </c>
      <c r="G37" s="8"/>
      <c r="H37" s="10" t="s">
        <v>25</v>
      </c>
      <c r="I37">
        <v>1</v>
      </c>
    </row>
    <row r="38" spans="1:9" x14ac:dyDescent="0.35">
      <c r="A38" s="7">
        <v>54</v>
      </c>
      <c r="B38" s="7" t="s">
        <v>100</v>
      </c>
      <c r="C38" s="7" t="s">
        <v>49</v>
      </c>
      <c r="D38" s="7" t="s">
        <v>9</v>
      </c>
      <c r="E38" s="7" t="s">
        <v>101</v>
      </c>
      <c r="F38" s="7" t="s">
        <v>32</v>
      </c>
      <c r="G38" s="8"/>
      <c r="H38" s="10" t="s">
        <v>25</v>
      </c>
      <c r="I38">
        <v>1</v>
      </c>
    </row>
    <row r="39" spans="1:9" x14ac:dyDescent="0.35">
      <c r="A39" s="7">
        <v>55</v>
      </c>
      <c r="B39" s="7" t="s">
        <v>102</v>
      </c>
      <c r="C39" s="7"/>
      <c r="D39" s="7" t="s">
        <v>9</v>
      </c>
      <c r="E39" s="7" t="s">
        <v>52</v>
      </c>
      <c r="F39" s="7" t="s">
        <v>32</v>
      </c>
      <c r="G39" s="8"/>
      <c r="H39" s="10" t="s">
        <v>25</v>
      </c>
      <c r="I39">
        <v>1</v>
      </c>
    </row>
    <row r="40" spans="1:9" x14ac:dyDescent="0.35">
      <c r="A40" s="7">
        <v>56</v>
      </c>
      <c r="B40" s="7" t="s">
        <v>103</v>
      </c>
      <c r="C40" s="7" t="s">
        <v>35</v>
      </c>
      <c r="D40" s="7" t="s">
        <v>9</v>
      </c>
      <c r="E40" s="7" t="s">
        <v>52</v>
      </c>
      <c r="F40" s="7" t="s">
        <v>32</v>
      </c>
      <c r="G40" s="8"/>
      <c r="H40" s="10" t="s">
        <v>25</v>
      </c>
      <c r="I40">
        <v>1</v>
      </c>
    </row>
    <row r="41" spans="1:9" x14ac:dyDescent="0.35">
      <c r="A41" s="7">
        <v>57</v>
      </c>
      <c r="B41" s="7" t="s">
        <v>104</v>
      </c>
      <c r="C41" s="7" t="s">
        <v>37</v>
      </c>
      <c r="D41" s="7" t="s">
        <v>8</v>
      </c>
      <c r="E41" s="7" t="s">
        <v>83</v>
      </c>
      <c r="F41" s="7" t="s">
        <v>32</v>
      </c>
      <c r="G41" s="8"/>
      <c r="H41" s="10" t="s">
        <v>25</v>
      </c>
      <c r="I41">
        <v>1</v>
      </c>
    </row>
    <row r="42" spans="1:9" x14ac:dyDescent="0.35">
      <c r="A42" s="7">
        <v>58</v>
      </c>
      <c r="B42" s="22" t="s">
        <v>51</v>
      </c>
      <c r="C42" s="22" t="s">
        <v>58</v>
      </c>
      <c r="D42" s="22" t="s">
        <v>8</v>
      </c>
      <c r="E42" s="22" t="s">
        <v>105</v>
      </c>
      <c r="F42" s="22" t="s">
        <v>32</v>
      </c>
      <c r="G42" s="21">
        <v>46196</v>
      </c>
      <c r="H42" s="7" t="s">
        <v>266</v>
      </c>
      <c r="I42">
        <v>1</v>
      </c>
    </row>
    <row r="43" spans="1:9" x14ac:dyDescent="0.35">
      <c r="A43" s="7">
        <v>59</v>
      </c>
      <c r="B43" s="7" t="s">
        <v>51</v>
      </c>
      <c r="C43" s="7" t="s">
        <v>35</v>
      </c>
      <c r="D43" s="7" t="s">
        <v>9</v>
      </c>
      <c r="E43" s="7" t="s">
        <v>52</v>
      </c>
      <c r="F43" s="7" t="s">
        <v>32</v>
      </c>
      <c r="G43" s="8"/>
      <c r="H43" s="10" t="s">
        <v>25</v>
      </c>
      <c r="I43">
        <v>1</v>
      </c>
    </row>
    <row r="44" spans="1:9" x14ac:dyDescent="0.35">
      <c r="A44" s="7">
        <v>60</v>
      </c>
      <c r="B44" s="7" t="s">
        <v>106</v>
      </c>
      <c r="C44" s="7" t="s">
        <v>54</v>
      </c>
      <c r="D44" s="7" t="s">
        <v>9</v>
      </c>
      <c r="E44" s="7" t="s">
        <v>9</v>
      </c>
      <c r="F44" s="7" t="s">
        <v>32</v>
      </c>
      <c r="G44" s="8"/>
      <c r="H44" s="10" t="s">
        <v>25</v>
      </c>
      <c r="I44">
        <v>1</v>
      </c>
    </row>
    <row r="45" spans="1:9" x14ac:dyDescent="0.35">
      <c r="A45" s="7">
        <v>61</v>
      </c>
      <c r="B45" s="7" t="s">
        <v>107</v>
      </c>
      <c r="C45" s="7" t="s">
        <v>45</v>
      </c>
      <c r="D45" s="7" t="s">
        <v>8</v>
      </c>
      <c r="E45" s="7" t="s">
        <v>108</v>
      </c>
      <c r="F45" s="7" t="s">
        <v>32</v>
      </c>
      <c r="G45" s="8"/>
      <c r="H45" s="10" t="s">
        <v>25</v>
      </c>
      <c r="I45">
        <v>1</v>
      </c>
    </row>
    <row r="46" spans="1:9" x14ac:dyDescent="0.35">
      <c r="A46" s="7">
        <v>62</v>
      </c>
      <c r="B46" s="7" t="s">
        <v>109</v>
      </c>
      <c r="C46" s="7" t="s">
        <v>53</v>
      </c>
      <c r="D46" s="7" t="s">
        <v>8</v>
      </c>
      <c r="E46" s="7" t="s">
        <v>110</v>
      </c>
      <c r="F46" s="7" t="s">
        <v>13</v>
      </c>
      <c r="G46" s="21">
        <v>46199</v>
      </c>
      <c r="H46" s="10" t="s">
        <v>25</v>
      </c>
      <c r="I46">
        <v>1</v>
      </c>
    </row>
    <row r="47" spans="1:9" x14ac:dyDescent="0.35">
      <c r="A47" s="7">
        <v>63</v>
      </c>
      <c r="B47" s="7" t="s">
        <v>111</v>
      </c>
      <c r="C47" s="7" t="s">
        <v>53</v>
      </c>
      <c r="D47" s="7" t="s">
        <v>8</v>
      </c>
      <c r="E47" s="7" t="s">
        <v>112</v>
      </c>
      <c r="F47" s="7" t="s">
        <v>13</v>
      </c>
      <c r="G47" s="8"/>
      <c r="H47" s="10" t="s">
        <v>25</v>
      </c>
      <c r="I47">
        <v>1</v>
      </c>
    </row>
    <row r="48" spans="1:9" x14ac:dyDescent="0.35">
      <c r="A48" s="7">
        <v>64</v>
      </c>
      <c r="B48" s="7" t="s">
        <v>113</v>
      </c>
      <c r="C48" s="7" t="s">
        <v>30</v>
      </c>
      <c r="D48" s="7" t="s">
        <v>8</v>
      </c>
      <c r="E48" s="7" t="s">
        <v>114</v>
      </c>
      <c r="F48" s="7" t="s">
        <v>13</v>
      </c>
      <c r="G48" s="21">
        <v>46197</v>
      </c>
      <c r="H48" s="10" t="s">
        <v>25</v>
      </c>
      <c r="I48">
        <v>1</v>
      </c>
    </row>
    <row r="49" spans="1:9" x14ac:dyDescent="0.35">
      <c r="A49" s="7">
        <v>65</v>
      </c>
      <c r="B49" s="22" t="s">
        <v>115</v>
      </c>
      <c r="C49" s="22" t="s">
        <v>58</v>
      </c>
      <c r="D49" s="22" t="s">
        <v>8</v>
      </c>
      <c r="E49" s="22" t="s">
        <v>116</v>
      </c>
      <c r="F49" s="22" t="s">
        <v>13</v>
      </c>
      <c r="G49" s="21">
        <v>46196</v>
      </c>
      <c r="H49" s="7" t="s">
        <v>266</v>
      </c>
      <c r="I49">
        <v>1</v>
      </c>
    </row>
    <row r="50" spans="1:9" x14ac:dyDescent="0.35">
      <c r="A50" s="7">
        <v>66</v>
      </c>
      <c r="B50" s="7" t="s">
        <v>117</v>
      </c>
      <c r="C50" s="7" t="s">
        <v>9</v>
      </c>
      <c r="D50" s="7" t="s">
        <v>9</v>
      </c>
      <c r="E50" s="7" t="s">
        <v>9</v>
      </c>
      <c r="F50" s="7" t="s">
        <v>13</v>
      </c>
      <c r="G50" s="8"/>
      <c r="H50" s="7" t="s">
        <v>266</v>
      </c>
      <c r="I50">
        <v>1</v>
      </c>
    </row>
    <row r="51" spans="1:9" x14ac:dyDescent="0.35">
      <c r="A51" s="7">
        <v>67</v>
      </c>
      <c r="B51" s="7" t="s">
        <v>118</v>
      </c>
      <c r="C51" s="7" t="s">
        <v>90</v>
      </c>
      <c r="D51" s="7" t="s">
        <v>8</v>
      </c>
      <c r="E51" s="7" t="s">
        <v>119</v>
      </c>
      <c r="F51" s="7" t="s">
        <v>13</v>
      </c>
      <c r="G51" s="8"/>
      <c r="H51" s="7" t="s">
        <v>266</v>
      </c>
      <c r="I51">
        <v>1</v>
      </c>
    </row>
    <row r="52" spans="1:9" x14ac:dyDescent="0.35">
      <c r="A52" s="7">
        <v>68</v>
      </c>
      <c r="B52" s="7" t="s">
        <v>115</v>
      </c>
      <c r="C52" s="7" t="s">
        <v>23</v>
      </c>
      <c r="D52" s="7" t="s">
        <v>8</v>
      </c>
      <c r="E52" s="7" t="s">
        <v>120</v>
      </c>
      <c r="F52" s="7" t="s">
        <v>13</v>
      </c>
      <c r="G52" s="8"/>
      <c r="H52" s="10" t="s">
        <v>25</v>
      </c>
      <c r="I52">
        <v>1</v>
      </c>
    </row>
    <row r="53" spans="1:9" x14ac:dyDescent="0.35">
      <c r="A53" s="7">
        <v>69</v>
      </c>
      <c r="B53" s="7" t="s">
        <v>121</v>
      </c>
      <c r="C53" s="7" t="s">
        <v>21</v>
      </c>
      <c r="D53" s="7" t="s">
        <v>8</v>
      </c>
      <c r="E53" s="7" t="s">
        <v>60</v>
      </c>
      <c r="F53" s="7" t="s">
        <v>13</v>
      </c>
      <c r="G53" s="8"/>
      <c r="H53" s="7" t="s">
        <v>266</v>
      </c>
      <c r="I53">
        <v>1</v>
      </c>
    </row>
    <row r="54" spans="1:9" x14ac:dyDescent="0.35">
      <c r="A54" s="7">
        <v>70</v>
      </c>
      <c r="B54" s="7" t="s">
        <v>122</v>
      </c>
      <c r="C54" s="7" t="s">
        <v>53</v>
      </c>
      <c r="D54" s="7" t="s">
        <v>8</v>
      </c>
      <c r="E54" s="7" t="s">
        <v>25</v>
      </c>
      <c r="F54" s="7" t="s">
        <v>13</v>
      </c>
      <c r="G54" s="8"/>
      <c r="H54" s="10" t="s">
        <v>25</v>
      </c>
      <c r="I54">
        <v>1</v>
      </c>
    </row>
    <row r="55" spans="1:9" x14ac:dyDescent="0.35">
      <c r="A55" s="7">
        <v>71</v>
      </c>
      <c r="B55" s="7" t="s">
        <v>123</v>
      </c>
      <c r="C55" s="7" t="s">
        <v>53</v>
      </c>
      <c r="D55" s="7" t="s">
        <v>8</v>
      </c>
      <c r="E55" s="7" t="s">
        <v>25</v>
      </c>
      <c r="F55" s="7" t="s">
        <v>13</v>
      </c>
      <c r="G55" s="8"/>
      <c r="H55" s="10" t="s">
        <v>25</v>
      </c>
      <c r="I55">
        <v>1</v>
      </c>
    </row>
    <row r="56" spans="1:9" x14ac:dyDescent="0.35">
      <c r="A56" s="7">
        <v>72</v>
      </c>
      <c r="B56" s="7" t="s">
        <v>124</v>
      </c>
      <c r="C56" s="7" t="s">
        <v>75</v>
      </c>
      <c r="D56" s="7" t="s">
        <v>9</v>
      </c>
      <c r="E56" s="7" t="s">
        <v>9</v>
      </c>
      <c r="F56" s="7" t="s">
        <v>13</v>
      </c>
      <c r="G56" s="8"/>
      <c r="H56" s="10" t="s">
        <v>25</v>
      </c>
      <c r="I56">
        <v>1</v>
      </c>
    </row>
    <row r="57" spans="1:9" x14ac:dyDescent="0.35">
      <c r="A57" s="7">
        <v>73</v>
      </c>
      <c r="B57" s="7" t="s">
        <v>125</v>
      </c>
      <c r="C57" s="7" t="s">
        <v>73</v>
      </c>
      <c r="D57" s="7" t="s">
        <v>8</v>
      </c>
      <c r="E57" s="7" t="s">
        <v>110</v>
      </c>
      <c r="F57" s="7" t="s">
        <v>13</v>
      </c>
      <c r="G57" s="8"/>
      <c r="H57" s="10" t="s">
        <v>25</v>
      </c>
      <c r="I57">
        <v>1</v>
      </c>
    </row>
    <row r="58" spans="1:9" x14ac:dyDescent="0.35">
      <c r="A58" s="7">
        <v>74</v>
      </c>
      <c r="B58" s="7" t="s">
        <v>126</v>
      </c>
      <c r="C58" s="7" t="s">
        <v>23</v>
      </c>
      <c r="D58" s="7" t="s">
        <v>8</v>
      </c>
      <c r="E58" s="7" t="s">
        <v>110</v>
      </c>
      <c r="F58" s="7" t="s">
        <v>13</v>
      </c>
      <c r="G58" s="21">
        <v>46197</v>
      </c>
      <c r="H58" s="10" t="s">
        <v>25</v>
      </c>
      <c r="I58">
        <v>1</v>
      </c>
    </row>
    <row r="59" spans="1:9" x14ac:dyDescent="0.35">
      <c r="A59" s="7">
        <v>75</v>
      </c>
      <c r="B59" s="7" t="s">
        <v>127</v>
      </c>
      <c r="C59" s="7" t="s">
        <v>45</v>
      </c>
      <c r="D59" s="7" t="s">
        <v>8</v>
      </c>
      <c r="E59" s="7" t="s">
        <v>128</v>
      </c>
      <c r="F59" s="7" t="s">
        <v>13</v>
      </c>
      <c r="G59" s="8"/>
      <c r="H59" s="10" t="s">
        <v>25</v>
      </c>
      <c r="I59">
        <v>1</v>
      </c>
    </row>
    <row r="60" spans="1:9" x14ac:dyDescent="0.35">
      <c r="A60" s="7">
        <v>76</v>
      </c>
      <c r="B60" s="7" t="s">
        <v>129</v>
      </c>
      <c r="C60" s="7" t="s">
        <v>53</v>
      </c>
      <c r="D60" s="7" t="s">
        <v>8</v>
      </c>
      <c r="E60" s="7" t="s">
        <v>110</v>
      </c>
      <c r="F60" s="7" t="s">
        <v>13</v>
      </c>
      <c r="G60" s="21">
        <v>46197</v>
      </c>
      <c r="H60" s="10" t="s">
        <v>25</v>
      </c>
      <c r="I60">
        <v>1</v>
      </c>
    </row>
    <row r="61" spans="1:9" x14ac:dyDescent="0.35">
      <c r="A61" s="7">
        <v>77</v>
      </c>
      <c r="B61" s="7" t="s">
        <v>130</v>
      </c>
      <c r="C61" s="7" t="s">
        <v>53</v>
      </c>
      <c r="D61" s="7" t="s">
        <v>8</v>
      </c>
      <c r="E61" s="7" t="s">
        <v>131</v>
      </c>
      <c r="F61" s="7" t="s">
        <v>13</v>
      </c>
      <c r="G61" s="21">
        <v>46196</v>
      </c>
      <c r="H61" s="10" t="s">
        <v>25</v>
      </c>
      <c r="I61">
        <v>1</v>
      </c>
    </row>
    <row r="62" spans="1:9" x14ac:dyDescent="0.35">
      <c r="A62" s="7">
        <v>78</v>
      </c>
      <c r="B62" s="7" t="s">
        <v>130</v>
      </c>
      <c r="C62" s="7" t="s">
        <v>23</v>
      </c>
      <c r="D62" s="7" t="s">
        <v>8</v>
      </c>
      <c r="E62" s="7" t="s">
        <v>132</v>
      </c>
      <c r="F62" s="7" t="s">
        <v>13</v>
      </c>
      <c r="G62" s="8"/>
      <c r="H62" s="10" t="s">
        <v>25</v>
      </c>
      <c r="I62">
        <v>1</v>
      </c>
    </row>
    <row r="63" spans="1:9" x14ac:dyDescent="0.35">
      <c r="A63" s="7">
        <v>79</v>
      </c>
      <c r="B63" s="7" t="s">
        <v>133</v>
      </c>
      <c r="C63" s="7" t="s">
        <v>23</v>
      </c>
      <c r="D63" s="7" t="s">
        <v>8</v>
      </c>
      <c r="E63" s="7" t="s">
        <v>25</v>
      </c>
      <c r="F63" s="7" t="s">
        <v>13</v>
      </c>
      <c r="G63" s="21">
        <v>46196</v>
      </c>
      <c r="H63" s="10" t="s">
        <v>25</v>
      </c>
      <c r="I63">
        <v>1</v>
      </c>
    </row>
    <row r="64" spans="1:9" x14ac:dyDescent="0.35">
      <c r="A64" s="7">
        <v>80</v>
      </c>
      <c r="B64" s="7" t="s">
        <v>134</v>
      </c>
      <c r="C64" s="7" t="s">
        <v>73</v>
      </c>
      <c r="D64" s="7" t="s">
        <v>9</v>
      </c>
      <c r="E64" s="7" t="s">
        <v>9</v>
      </c>
      <c r="F64" s="7" t="s">
        <v>13</v>
      </c>
      <c r="G64" s="8"/>
      <c r="H64" s="10" t="s">
        <v>25</v>
      </c>
      <c r="I64">
        <v>1</v>
      </c>
    </row>
    <row r="65" spans="1:9" x14ac:dyDescent="0.35">
      <c r="A65" s="7">
        <v>81</v>
      </c>
      <c r="B65" s="7" t="s">
        <v>135</v>
      </c>
      <c r="C65" s="7"/>
      <c r="D65" s="7" t="s">
        <v>8</v>
      </c>
      <c r="E65" s="7" t="s">
        <v>60</v>
      </c>
      <c r="F65" s="7" t="s">
        <v>13</v>
      </c>
      <c r="G65" s="8"/>
      <c r="H65" s="10" t="s">
        <v>25</v>
      </c>
      <c r="I65">
        <v>1</v>
      </c>
    </row>
    <row r="66" spans="1:9" x14ac:dyDescent="0.35">
      <c r="A66" s="7">
        <v>82</v>
      </c>
      <c r="B66" s="7" t="s">
        <v>89</v>
      </c>
      <c r="C66" s="7" t="s">
        <v>34</v>
      </c>
      <c r="D66" s="7" t="s">
        <v>9</v>
      </c>
      <c r="E66" s="7" t="s">
        <v>136</v>
      </c>
      <c r="F66" s="7" t="s">
        <v>13</v>
      </c>
      <c r="G66" s="8"/>
      <c r="H66" s="7" t="s">
        <v>266</v>
      </c>
      <c r="I66">
        <v>1</v>
      </c>
    </row>
    <row r="67" spans="1:9" x14ac:dyDescent="0.35">
      <c r="A67" s="7">
        <v>83</v>
      </c>
      <c r="B67" s="7" t="s">
        <v>133</v>
      </c>
      <c r="C67" s="7" t="s">
        <v>23</v>
      </c>
      <c r="D67" s="7" t="s">
        <v>9</v>
      </c>
      <c r="E67" s="7" t="s">
        <v>9</v>
      </c>
      <c r="F67" s="7" t="s">
        <v>13</v>
      </c>
      <c r="G67" s="21">
        <v>46198</v>
      </c>
      <c r="H67" s="10" t="s">
        <v>25</v>
      </c>
      <c r="I67">
        <v>1</v>
      </c>
    </row>
    <row r="68" spans="1:9" x14ac:dyDescent="0.35">
      <c r="A68" s="7">
        <v>84</v>
      </c>
      <c r="B68" s="7" t="s">
        <v>137</v>
      </c>
      <c r="C68" s="7" t="s">
        <v>34</v>
      </c>
      <c r="D68" s="7" t="s">
        <v>9</v>
      </c>
      <c r="E68" s="7" t="s">
        <v>138</v>
      </c>
      <c r="F68" s="7" t="s">
        <v>13</v>
      </c>
      <c r="G68" s="8"/>
      <c r="H68" s="7" t="s">
        <v>266</v>
      </c>
      <c r="I68">
        <v>1</v>
      </c>
    </row>
    <row r="69" spans="1:9" x14ac:dyDescent="0.35">
      <c r="A69" s="7">
        <v>85</v>
      </c>
      <c r="B69" s="7" t="s">
        <v>139</v>
      </c>
      <c r="C69" s="7" t="s">
        <v>79</v>
      </c>
      <c r="D69" s="7" t="s">
        <v>9</v>
      </c>
      <c r="E69" s="7" t="s">
        <v>9</v>
      </c>
      <c r="F69" s="7" t="s">
        <v>13</v>
      </c>
      <c r="G69" s="8"/>
      <c r="H69" s="7" t="s">
        <v>266</v>
      </c>
      <c r="I69">
        <v>1</v>
      </c>
    </row>
    <row r="70" spans="1:9" x14ac:dyDescent="0.35">
      <c r="A70" s="7">
        <v>86</v>
      </c>
      <c r="B70" s="7" t="s">
        <v>140</v>
      </c>
      <c r="C70" s="7" t="s">
        <v>53</v>
      </c>
      <c r="D70" s="7" t="s">
        <v>8</v>
      </c>
      <c r="E70" s="7" t="s">
        <v>25</v>
      </c>
      <c r="F70" s="7" t="s">
        <v>13</v>
      </c>
      <c r="G70" s="21">
        <v>46198</v>
      </c>
      <c r="H70" s="10" t="s">
        <v>25</v>
      </c>
      <c r="I70">
        <v>1</v>
      </c>
    </row>
    <row r="71" spans="1:9" x14ac:dyDescent="0.35">
      <c r="A71" s="7">
        <v>87</v>
      </c>
      <c r="B71" s="7" t="s">
        <v>141</v>
      </c>
      <c r="C71" s="7" t="s">
        <v>57</v>
      </c>
      <c r="D71" s="7" t="s">
        <v>8</v>
      </c>
      <c r="E71" s="7" t="s">
        <v>142</v>
      </c>
      <c r="F71" s="7" t="s">
        <v>13</v>
      </c>
      <c r="G71" s="8"/>
      <c r="H71" s="7" t="s">
        <v>266</v>
      </c>
      <c r="I71">
        <v>1</v>
      </c>
    </row>
    <row r="72" spans="1:9" x14ac:dyDescent="0.35">
      <c r="A72" s="7">
        <v>88</v>
      </c>
      <c r="B72" s="7" t="s">
        <v>143</v>
      </c>
      <c r="C72" s="7" t="s">
        <v>37</v>
      </c>
      <c r="D72" s="7" t="s">
        <v>8</v>
      </c>
      <c r="E72" s="7" t="s">
        <v>60</v>
      </c>
      <c r="F72" s="7" t="s">
        <v>13</v>
      </c>
      <c r="G72" s="8"/>
      <c r="H72" s="10" t="s">
        <v>25</v>
      </c>
      <c r="I72">
        <v>1</v>
      </c>
    </row>
    <row r="73" spans="1:9" x14ac:dyDescent="0.35">
      <c r="A73" s="7">
        <v>89</v>
      </c>
      <c r="B73" s="7" t="s">
        <v>144</v>
      </c>
      <c r="C73" s="7" t="s">
        <v>63</v>
      </c>
      <c r="D73" s="7" t="s">
        <v>9</v>
      </c>
      <c r="E73" s="7" t="s">
        <v>9</v>
      </c>
      <c r="F73" s="7" t="s">
        <v>13</v>
      </c>
      <c r="G73" s="21"/>
      <c r="H73" s="10" t="s">
        <v>24</v>
      </c>
      <c r="I73">
        <v>1</v>
      </c>
    </row>
    <row r="74" spans="1:9" x14ac:dyDescent="0.35">
      <c r="A74" s="7">
        <v>90</v>
      </c>
      <c r="B74" s="7"/>
      <c r="C74" s="7" t="s">
        <v>45</v>
      </c>
      <c r="D74" s="7" t="s">
        <v>8</v>
      </c>
      <c r="E74" s="7" t="s">
        <v>145</v>
      </c>
      <c r="F74" s="7" t="s">
        <v>13</v>
      </c>
      <c r="G74" s="8"/>
      <c r="H74" s="10" t="s">
        <v>25</v>
      </c>
      <c r="I74">
        <v>1</v>
      </c>
    </row>
    <row r="75" spans="1:9" x14ac:dyDescent="0.35">
      <c r="A75" s="7">
        <v>91</v>
      </c>
      <c r="B75" s="7" t="s">
        <v>146</v>
      </c>
      <c r="C75" s="7" t="s">
        <v>45</v>
      </c>
      <c r="D75" s="7" t="s">
        <v>9</v>
      </c>
      <c r="E75" s="7" t="s">
        <v>9</v>
      </c>
      <c r="F75" s="7" t="s">
        <v>13</v>
      </c>
      <c r="G75" s="8"/>
      <c r="H75" s="10" t="s">
        <v>25</v>
      </c>
      <c r="I75">
        <v>1</v>
      </c>
    </row>
    <row r="76" spans="1:9" x14ac:dyDescent="0.35">
      <c r="A76" s="7">
        <v>92</v>
      </c>
      <c r="B76" s="7" t="s">
        <v>147</v>
      </c>
      <c r="C76" s="7" t="s">
        <v>61</v>
      </c>
      <c r="D76" s="7" t="s">
        <v>9</v>
      </c>
      <c r="E76" s="7" t="s">
        <v>9</v>
      </c>
      <c r="F76" s="7" t="s">
        <v>13</v>
      </c>
      <c r="G76" s="8"/>
      <c r="H76" s="7" t="s">
        <v>266</v>
      </c>
      <c r="I76">
        <v>1</v>
      </c>
    </row>
    <row r="77" spans="1:9" x14ac:dyDescent="0.35">
      <c r="A77" s="7">
        <v>93</v>
      </c>
      <c r="B77" s="7" t="s">
        <v>148</v>
      </c>
      <c r="C77" s="7" t="s">
        <v>57</v>
      </c>
      <c r="D77" s="7" t="s">
        <v>8</v>
      </c>
      <c r="E77" s="7" t="s">
        <v>132</v>
      </c>
      <c r="F77" s="7" t="s">
        <v>13</v>
      </c>
      <c r="G77" s="8"/>
      <c r="H77" s="7" t="s">
        <v>266</v>
      </c>
      <c r="I77">
        <v>1</v>
      </c>
    </row>
    <row r="78" spans="1:9" x14ac:dyDescent="0.35">
      <c r="A78" s="7">
        <v>94</v>
      </c>
      <c r="B78" s="7" t="s">
        <v>149</v>
      </c>
      <c r="C78" s="7" t="s">
        <v>57</v>
      </c>
      <c r="D78" s="7" t="s">
        <v>9</v>
      </c>
      <c r="E78" s="7" t="s">
        <v>9</v>
      </c>
      <c r="F78" s="7" t="s">
        <v>13</v>
      </c>
      <c r="G78" s="8"/>
      <c r="H78" s="7" t="s">
        <v>266</v>
      </c>
      <c r="I78">
        <v>1</v>
      </c>
    </row>
    <row r="79" spans="1:9" x14ac:dyDescent="0.35">
      <c r="A79" s="7">
        <v>95</v>
      </c>
      <c r="B79" s="7" t="s">
        <v>150</v>
      </c>
      <c r="C79" s="7" t="s">
        <v>45</v>
      </c>
      <c r="D79" s="7" t="s">
        <v>8</v>
      </c>
      <c r="E79" s="7" t="s">
        <v>132</v>
      </c>
      <c r="F79" s="7" t="s">
        <v>13</v>
      </c>
      <c r="G79" s="8"/>
      <c r="H79" s="10" t="s">
        <v>25</v>
      </c>
      <c r="I79">
        <v>1</v>
      </c>
    </row>
    <row r="80" spans="1:9" x14ac:dyDescent="0.35">
      <c r="A80" s="7">
        <v>96</v>
      </c>
      <c r="B80" s="7" t="s">
        <v>151</v>
      </c>
      <c r="C80" s="7" t="s">
        <v>45</v>
      </c>
      <c r="D80" s="7" t="s">
        <v>9</v>
      </c>
      <c r="E80" s="7" t="s">
        <v>138</v>
      </c>
      <c r="F80" s="7" t="s">
        <v>13</v>
      </c>
      <c r="G80" s="8"/>
      <c r="H80" s="10" t="s">
        <v>25</v>
      </c>
      <c r="I80">
        <v>1</v>
      </c>
    </row>
    <row r="81" spans="1:9" x14ac:dyDescent="0.35">
      <c r="A81" s="7">
        <v>97</v>
      </c>
      <c r="B81" s="7" t="s">
        <v>152</v>
      </c>
      <c r="C81" s="7" t="s">
        <v>21</v>
      </c>
      <c r="D81" s="7" t="s">
        <v>8</v>
      </c>
      <c r="E81" s="7" t="s">
        <v>153</v>
      </c>
      <c r="F81" s="7" t="s">
        <v>13</v>
      </c>
      <c r="G81" s="8"/>
      <c r="H81" s="7" t="s">
        <v>266</v>
      </c>
      <c r="I81">
        <v>1</v>
      </c>
    </row>
    <row r="82" spans="1:9" x14ac:dyDescent="0.35">
      <c r="A82" s="7">
        <v>98</v>
      </c>
      <c r="B82" s="7" t="s">
        <v>154</v>
      </c>
      <c r="C82" s="7" t="s">
        <v>45</v>
      </c>
      <c r="D82" s="7" t="s">
        <v>8</v>
      </c>
      <c r="E82" s="7" t="s">
        <v>112</v>
      </c>
      <c r="F82" s="7" t="s">
        <v>13</v>
      </c>
      <c r="G82" s="21">
        <v>46196</v>
      </c>
      <c r="H82" s="10" t="s">
        <v>25</v>
      </c>
      <c r="I82">
        <v>1</v>
      </c>
    </row>
    <row r="83" spans="1:9" x14ac:dyDescent="0.35">
      <c r="A83" s="7">
        <v>99</v>
      </c>
      <c r="B83" s="7" t="s">
        <v>155</v>
      </c>
      <c r="C83" s="7" t="s">
        <v>45</v>
      </c>
      <c r="D83" s="7" t="s">
        <v>8</v>
      </c>
      <c r="E83" s="7" t="s">
        <v>112</v>
      </c>
      <c r="F83" s="7" t="s">
        <v>13</v>
      </c>
      <c r="G83" s="8"/>
      <c r="H83" s="10" t="s">
        <v>25</v>
      </c>
      <c r="I83">
        <v>1</v>
      </c>
    </row>
    <row r="84" spans="1:9" x14ac:dyDescent="0.35">
      <c r="A84" s="7">
        <v>100</v>
      </c>
      <c r="B84" s="7" t="s">
        <v>156</v>
      </c>
      <c r="C84" s="7" t="s">
        <v>57</v>
      </c>
      <c r="D84" s="7" t="s">
        <v>8</v>
      </c>
      <c r="E84" s="7" t="s">
        <v>60</v>
      </c>
      <c r="F84" s="7" t="s">
        <v>13</v>
      </c>
      <c r="G84" s="8"/>
      <c r="H84" s="7" t="s">
        <v>266</v>
      </c>
      <c r="I84">
        <v>1</v>
      </c>
    </row>
    <row r="85" spans="1:9" x14ac:dyDescent="0.35">
      <c r="A85" s="7">
        <v>101</v>
      </c>
      <c r="B85" s="7" t="s">
        <v>157</v>
      </c>
      <c r="C85" s="7" t="s">
        <v>37</v>
      </c>
      <c r="D85" s="7" t="s">
        <v>9</v>
      </c>
      <c r="E85" s="7" t="s">
        <v>9</v>
      </c>
      <c r="F85" s="7" t="s">
        <v>13</v>
      </c>
      <c r="G85" s="8"/>
      <c r="H85" s="10" t="s">
        <v>25</v>
      </c>
      <c r="I85">
        <v>1</v>
      </c>
    </row>
    <row r="86" spans="1:9" x14ac:dyDescent="0.35">
      <c r="A86" s="7">
        <v>102</v>
      </c>
      <c r="B86" s="7" t="s">
        <v>158</v>
      </c>
      <c r="C86" s="7" t="s">
        <v>85</v>
      </c>
      <c r="D86" s="7" t="s">
        <v>8</v>
      </c>
      <c r="E86" s="7" t="s">
        <v>112</v>
      </c>
      <c r="F86" s="7" t="s">
        <v>13</v>
      </c>
      <c r="G86" s="8"/>
      <c r="H86" s="7" t="s">
        <v>266</v>
      </c>
      <c r="I86">
        <v>1</v>
      </c>
    </row>
    <row r="87" spans="1:9" x14ac:dyDescent="0.35">
      <c r="A87" s="7">
        <v>103</v>
      </c>
      <c r="B87" s="7" t="s">
        <v>159</v>
      </c>
      <c r="C87" s="7" t="s">
        <v>23</v>
      </c>
      <c r="D87" s="7" t="s">
        <v>9</v>
      </c>
      <c r="E87" s="7" t="s">
        <v>9</v>
      </c>
      <c r="F87" s="7" t="s">
        <v>13</v>
      </c>
      <c r="G87" s="8"/>
      <c r="H87" s="10" t="s">
        <v>25</v>
      </c>
      <c r="I87">
        <v>1</v>
      </c>
    </row>
    <row r="88" spans="1:9" x14ac:dyDescent="0.35">
      <c r="A88" s="7">
        <v>104</v>
      </c>
      <c r="B88" s="7" t="s">
        <v>160</v>
      </c>
      <c r="C88" s="7" t="s">
        <v>49</v>
      </c>
      <c r="D88" s="7" t="s">
        <v>9</v>
      </c>
      <c r="E88" s="7" t="s">
        <v>9</v>
      </c>
      <c r="F88" s="7" t="s">
        <v>13</v>
      </c>
      <c r="G88" s="8"/>
      <c r="H88" s="10" t="s">
        <v>25</v>
      </c>
      <c r="I88">
        <v>1</v>
      </c>
    </row>
    <row r="89" spans="1:9" x14ac:dyDescent="0.35">
      <c r="A89" s="7">
        <v>105</v>
      </c>
      <c r="B89" s="7" t="s">
        <v>161</v>
      </c>
      <c r="C89" s="7" t="s">
        <v>21</v>
      </c>
      <c r="D89" s="7" t="s">
        <v>8</v>
      </c>
      <c r="E89" s="7" t="s">
        <v>162</v>
      </c>
      <c r="F89" s="7" t="s">
        <v>13</v>
      </c>
      <c r="G89" s="8"/>
      <c r="H89" s="7" t="s">
        <v>266</v>
      </c>
      <c r="I89">
        <v>1</v>
      </c>
    </row>
    <row r="90" spans="1:9" x14ac:dyDescent="0.35">
      <c r="A90" s="7">
        <v>106</v>
      </c>
      <c r="B90" s="7" t="s">
        <v>163</v>
      </c>
      <c r="C90" s="7" t="s">
        <v>21</v>
      </c>
      <c r="D90" s="7" t="s">
        <v>8</v>
      </c>
      <c r="E90" s="7" t="s">
        <v>132</v>
      </c>
      <c r="F90" s="7" t="s">
        <v>13</v>
      </c>
      <c r="G90" s="8"/>
      <c r="H90" s="7" t="s">
        <v>266</v>
      </c>
      <c r="I90">
        <v>1</v>
      </c>
    </row>
    <row r="91" spans="1:9" x14ac:dyDescent="0.35">
      <c r="A91" s="7">
        <v>107</v>
      </c>
      <c r="B91" s="7" t="s">
        <v>164</v>
      </c>
      <c r="C91" s="7" t="s">
        <v>23</v>
      </c>
      <c r="D91" s="7" t="s">
        <v>8</v>
      </c>
      <c r="E91" s="7" t="s">
        <v>60</v>
      </c>
      <c r="F91" s="7" t="s">
        <v>13</v>
      </c>
      <c r="G91" s="8"/>
      <c r="H91" s="10" t="s">
        <v>25</v>
      </c>
      <c r="I91">
        <v>1</v>
      </c>
    </row>
    <row r="92" spans="1:9" x14ac:dyDescent="0.35">
      <c r="A92" s="7">
        <v>108</v>
      </c>
      <c r="B92" s="7" t="s">
        <v>165</v>
      </c>
      <c r="C92" s="7" t="s">
        <v>23</v>
      </c>
      <c r="D92" s="7" t="s">
        <v>8</v>
      </c>
      <c r="E92" s="7" t="s">
        <v>60</v>
      </c>
      <c r="F92" s="7" t="s">
        <v>13</v>
      </c>
      <c r="G92" s="8"/>
      <c r="H92" s="10" t="s">
        <v>25</v>
      </c>
      <c r="I92">
        <v>1</v>
      </c>
    </row>
    <row r="93" spans="1:9" x14ac:dyDescent="0.35">
      <c r="A93" s="7">
        <v>109</v>
      </c>
      <c r="B93" s="7" t="s">
        <v>166</v>
      </c>
      <c r="C93" s="7" t="s">
        <v>61</v>
      </c>
      <c r="D93" s="7" t="s">
        <v>9</v>
      </c>
      <c r="E93" s="7" t="s">
        <v>9</v>
      </c>
      <c r="F93" s="7" t="s">
        <v>13</v>
      </c>
      <c r="G93" s="8"/>
      <c r="H93" s="7" t="s">
        <v>266</v>
      </c>
      <c r="I93">
        <v>1</v>
      </c>
    </row>
    <row r="94" spans="1:9" x14ac:dyDescent="0.35">
      <c r="A94" s="7">
        <v>110</v>
      </c>
      <c r="B94" s="7" t="s">
        <v>167</v>
      </c>
      <c r="C94" s="7" t="s">
        <v>267</v>
      </c>
      <c r="D94" s="7" t="s">
        <v>9</v>
      </c>
      <c r="E94" s="7" t="s">
        <v>168</v>
      </c>
      <c r="F94" s="7" t="s">
        <v>13</v>
      </c>
      <c r="G94" s="8"/>
      <c r="H94" s="7" t="s">
        <v>266</v>
      </c>
      <c r="I94">
        <v>1</v>
      </c>
    </row>
    <row r="95" spans="1:9" x14ac:dyDescent="0.35">
      <c r="A95" s="7">
        <v>111</v>
      </c>
      <c r="B95" s="7" t="s">
        <v>169</v>
      </c>
      <c r="C95" s="7" t="s">
        <v>57</v>
      </c>
      <c r="D95" s="7" t="s">
        <v>8</v>
      </c>
      <c r="E95" s="7" t="s">
        <v>170</v>
      </c>
      <c r="F95" s="7" t="s">
        <v>13</v>
      </c>
      <c r="G95" s="8"/>
      <c r="H95" s="7" t="s">
        <v>266</v>
      </c>
      <c r="I95">
        <v>1</v>
      </c>
    </row>
    <row r="96" spans="1:9" x14ac:dyDescent="0.35">
      <c r="A96" s="7">
        <v>112</v>
      </c>
      <c r="B96" s="7" t="s">
        <v>171</v>
      </c>
      <c r="C96" s="7" t="s">
        <v>71</v>
      </c>
      <c r="D96" s="7" t="s">
        <v>8</v>
      </c>
      <c r="E96" s="7" t="s">
        <v>172</v>
      </c>
      <c r="F96" s="7" t="s">
        <v>13</v>
      </c>
      <c r="G96" s="8"/>
      <c r="H96" s="10" t="s">
        <v>25</v>
      </c>
      <c r="I96">
        <v>1</v>
      </c>
    </row>
    <row r="97" spans="1:9" x14ac:dyDescent="0.35">
      <c r="A97" s="7">
        <v>113</v>
      </c>
      <c r="B97" s="7" t="s">
        <v>173</v>
      </c>
      <c r="C97" s="7" t="s">
        <v>267</v>
      </c>
      <c r="D97" s="7" t="s">
        <v>9</v>
      </c>
      <c r="E97" s="7" t="s">
        <v>9</v>
      </c>
      <c r="F97" s="7" t="s">
        <v>13</v>
      </c>
      <c r="G97" s="8"/>
      <c r="H97" s="7" t="s">
        <v>266</v>
      </c>
      <c r="I97">
        <v>1</v>
      </c>
    </row>
    <row r="98" spans="1:9" x14ac:dyDescent="0.35">
      <c r="A98" s="7">
        <v>114</v>
      </c>
      <c r="B98" s="22" t="s">
        <v>174</v>
      </c>
      <c r="C98" s="22" t="s">
        <v>48</v>
      </c>
      <c r="D98" s="22" t="s">
        <v>8</v>
      </c>
      <c r="E98" s="22" t="s">
        <v>170</v>
      </c>
      <c r="F98" s="22" t="s">
        <v>13</v>
      </c>
      <c r="G98" s="21">
        <v>46196</v>
      </c>
      <c r="H98" s="7" t="s">
        <v>266</v>
      </c>
      <c r="I98">
        <v>1</v>
      </c>
    </row>
    <row r="99" spans="1:9" x14ac:dyDescent="0.35">
      <c r="A99" s="7">
        <v>115</v>
      </c>
      <c r="B99" s="7" t="s">
        <v>175</v>
      </c>
      <c r="C99" s="7" t="s">
        <v>42</v>
      </c>
      <c r="D99" s="7" t="s">
        <v>9</v>
      </c>
      <c r="E99" s="7" t="s">
        <v>9</v>
      </c>
      <c r="F99" s="7" t="s">
        <v>13</v>
      </c>
      <c r="G99" s="8"/>
      <c r="H99" s="10" t="s">
        <v>24</v>
      </c>
      <c r="I99">
        <v>1</v>
      </c>
    </row>
    <row r="100" spans="1:9" x14ac:dyDescent="0.35">
      <c r="A100" s="7">
        <v>116</v>
      </c>
      <c r="B100" s="7" t="s">
        <v>176</v>
      </c>
      <c r="C100" s="7" t="s">
        <v>57</v>
      </c>
      <c r="D100" s="7" t="s">
        <v>8</v>
      </c>
      <c r="E100" s="7" t="s">
        <v>132</v>
      </c>
      <c r="F100" s="7" t="s">
        <v>13</v>
      </c>
      <c r="G100" s="8"/>
      <c r="H100" s="7" t="s">
        <v>266</v>
      </c>
      <c r="I100">
        <v>1</v>
      </c>
    </row>
    <row r="101" spans="1:9" x14ac:dyDescent="0.35">
      <c r="A101" s="7">
        <v>117</v>
      </c>
      <c r="B101" s="7" t="s">
        <v>177</v>
      </c>
      <c r="C101" s="7" t="s">
        <v>23</v>
      </c>
      <c r="D101" s="7" t="s">
        <v>9</v>
      </c>
      <c r="E101" s="7" t="s">
        <v>9</v>
      </c>
      <c r="F101" s="7" t="s">
        <v>13</v>
      </c>
      <c r="G101" s="8"/>
      <c r="H101" s="10" t="s">
        <v>25</v>
      </c>
      <c r="I101">
        <v>1</v>
      </c>
    </row>
    <row r="102" spans="1:9" x14ac:dyDescent="0.35">
      <c r="A102" s="7">
        <v>118</v>
      </c>
      <c r="B102" s="7" t="s">
        <v>178</v>
      </c>
      <c r="C102" s="7" t="s">
        <v>29</v>
      </c>
      <c r="D102" s="7" t="s">
        <v>9</v>
      </c>
      <c r="E102" s="7" t="s">
        <v>9</v>
      </c>
      <c r="F102" s="7" t="s">
        <v>13</v>
      </c>
      <c r="G102" s="8"/>
      <c r="H102" s="7" t="s">
        <v>266</v>
      </c>
      <c r="I102">
        <v>1</v>
      </c>
    </row>
    <row r="103" spans="1:9" x14ac:dyDescent="0.35">
      <c r="A103" s="7">
        <v>119</v>
      </c>
      <c r="B103" s="7" t="s">
        <v>179</v>
      </c>
      <c r="C103" s="7" t="s">
        <v>29</v>
      </c>
      <c r="D103" s="7" t="s">
        <v>8</v>
      </c>
      <c r="E103" s="7" t="s">
        <v>60</v>
      </c>
      <c r="F103" s="7" t="s">
        <v>13</v>
      </c>
      <c r="G103" s="8"/>
      <c r="H103" s="7" t="s">
        <v>266</v>
      </c>
      <c r="I103">
        <v>1</v>
      </c>
    </row>
    <row r="104" spans="1:9" x14ac:dyDescent="0.35">
      <c r="A104" s="7">
        <v>120</v>
      </c>
      <c r="B104" s="7" t="s">
        <v>180</v>
      </c>
      <c r="C104" s="7" t="s">
        <v>38</v>
      </c>
      <c r="D104" s="7" t="s">
        <v>9</v>
      </c>
      <c r="E104" s="7" t="s">
        <v>9</v>
      </c>
      <c r="F104" s="7" t="s">
        <v>13</v>
      </c>
      <c r="G104" s="8"/>
      <c r="H104" s="10" t="s">
        <v>25</v>
      </c>
      <c r="I104">
        <v>1</v>
      </c>
    </row>
    <row r="105" spans="1:9" x14ac:dyDescent="0.35">
      <c r="A105" s="7">
        <v>121</v>
      </c>
      <c r="B105" s="7" t="s">
        <v>181</v>
      </c>
      <c r="C105" s="7" t="s">
        <v>23</v>
      </c>
      <c r="D105" s="7" t="s">
        <v>8</v>
      </c>
      <c r="E105" s="7" t="s">
        <v>182</v>
      </c>
      <c r="F105" s="7" t="s">
        <v>13</v>
      </c>
      <c r="G105" s="8"/>
      <c r="H105" s="10" t="s">
        <v>25</v>
      </c>
      <c r="I105">
        <v>1</v>
      </c>
    </row>
    <row r="106" spans="1:9" x14ac:dyDescent="0.35">
      <c r="A106" s="7">
        <v>122</v>
      </c>
      <c r="B106" s="7" t="s">
        <v>183</v>
      </c>
      <c r="C106" s="7" t="s">
        <v>23</v>
      </c>
      <c r="D106" s="7" t="s">
        <v>9</v>
      </c>
      <c r="E106" s="7" t="s">
        <v>9</v>
      </c>
      <c r="F106" s="7" t="s">
        <v>13</v>
      </c>
      <c r="G106" s="8"/>
      <c r="H106" s="10" t="s">
        <v>25</v>
      </c>
      <c r="I106">
        <v>1</v>
      </c>
    </row>
    <row r="107" spans="1:9" x14ac:dyDescent="0.35">
      <c r="A107" s="7">
        <v>123</v>
      </c>
      <c r="B107" s="7" t="s">
        <v>184</v>
      </c>
      <c r="C107" s="7" t="s">
        <v>45</v>
      </c>
      <c r="D107" s="7" t="s">
        <v>9</v>
      </c>
      <c r="E107" s="7" t="s">
        <v>9</v>
      </c>
      <c r="F107" s="7" t="s">
        <v>13</v>
      </c>
      <c r="G107" s="8"/>
      <c r="H107" s="10" t="s">
        <v>25</v>
      </c>
      <c r="I107">
        <v>1</v>
      </c>
    </row>
    <row r="108" spans="1:9" x14ac:dyDescent="0.35">
      <c r="A108" s="7">
        <v>124</v>
      </c>
      <c r="B108" s="7" t="s">
        <v>185</v>
      </c>
      <c r="C108" s="7" t="s">
        <v>46</v>
      </c>
      <c r="D108" s="7" t="s">
        <v>9</v>
      </c>
      <c r="E108" s="7" t="s">
        <v>9</v>
      </c>
      <c r="F108" s="7" t="s">
        <v>13</v>
      </c>
      <c r="G108" s="8"/>
      <c r="H108" s="10" t="s">
        <v>25</v>
      </c>
      <c r="I108">
        <v>1</v>
      </c>
    </row>
    <row r="109" spans="1:9" x14ac:dyDescent="0.35">
      <c r="A109" s="7">
        <v>125</v>
      </c>
      <c r="B109" s="7" t="s">
        <v>186</v>
      </c>
      <c r="C109" s="7" t="s">
        <v>23</v>
      </c>
      <c r="D109" s="7" t="s">
        <v>8</v>
      </c>
      <c r="E109" s="7" t="s">
        <v>60</v>
      </c>
      <c r="F109" s="7" t="s">
        <v>13</v>
      </c>
      <c r="G109" s="8"/>
      <c r="H109" s="10" t="s">
        <v>25</v>
      </c>
      <c r="I109">
        <v>1</v>
      </c>
    </row>
    <row r="110" spans="1:9" x14ac:dyDescent="0.35">
      <c r="A110" s="7">
        <v>126</v>
      </c>
      <c r="B110" s="7" t="s">
        <v>187</v>
      </c>
      <c r="C110" s="7" t="s">
        <v>69</v>
      </c>
      <c r="D110" s="7" t="s">
        <v>8</v>
      </c>
      <c r="E110" s="7" t="s">
        <v>56</v>
      </c>
      <c r="F110" s="7" t="s">
        <v>13</v>
      </c>
      <c r="G110" s="8"/>
      <c r="H110" s="10" t="s">
        <v>24</v>
      </c>
      <c r="I110">
        <v>1</v>
      </c>
    </row>
    <row r="111" spans="1:9" x14ac:dyDescent="0.35">
      <c r="A111" s="7">
        <v>127</v>
      </c>
      <c r="B111" s="7" t="s">
        <v>188</v>
      </c>
      <c r="C111" s="7" t="s">
        <v>29</v>
      </c>
      <c r="D111" s="7" t="s">
        <v>9</v>
      </c>
      <c r="E111" s="7" t="s">
        <v>9</v>
      </c>
      <c r="F111" s="7" t="s">
        <v>13</v>
      </c>
      <c r="G111" s="8"/>
      <c r="H111" s="7" t="s">
        <v>266</v>
      </c>
      <c r="I111">
        <v>1</v>
      </c>
    </row>
    <row r="112" spans="1:9" x14ac:dyDescent="0.35">
      <c r="A112" s="7">
        <v>128</v>
      </c>
      <c r="B112" s="7" t="s">
        <v>189</v>
      </c>
      <c r="C112" s="7" t="s">
        <v>37</v>
      </c>
      <c r="D112" s="7" t="s">
        <v>8</v>
      </c>
      <c r="E112" s="7" t="s">
        <v>190</v>
      </c>
      <c r="F112" s="7" t="s">
        <v>13</v>
      </c>
      <c r="G112" s="8"/>
      <c r="H112" s="10" t="s">
        <v>25</v>
      </c>
      <c r="I112">
        <v>1</v>
      </c>
    </row>
    <row r="113" spans="1:9" x14ac:dyDescent="0.35">
      <c r="A113" s="7">
        <v>129</v>
      </c>
      <c r="B113" s="7" t="s">
        <v>191</v>
      </c>
      <c r="C113" s="7" t="s">
        <v>23</v>
      </c>
      <c r="D113" s="7" t="s">
        <v>8</v>
      </c>
      <c r="E113" s="7" t="s">
        <v>190</v>
      </c>
      <c r="F113" s="7" t="s">
        <v>13</v>
      </c>
      <c r="G113" s="8"/>
      <c r="H113" s="10" t="s">
        <v>25</v>
      </c>
      <c r="I113">
        <v>1</v>
      </c>
    </row>
    <row r="114" spans="1:9" x14ac:dyDescent="0.35">
      <c r="A114" s="7">
        <v>130</v>
      </c>
      <c r="B114" s="10">
        <v>130</v>
      </c>
      <c r="C114" s="7" t="s">
        <v>38</v>
      </c>
      <c r="D114" s="7" t="s">
        <v>8</v>
      </c>
      <c r="E114" s="7" t="s">
        <v>60</v>
      </c>
      <c r="F114" s="7" t="s">
        <v>13</v>
      </c>
      <c r="G114" s="21">
        <v>46196</v>
      </c>
      <c r="H114" s="10" t="s">
        <v>25</v>
      </c>
      <c r="I114">
        <v>1</v>
      </c>
    </row>
    <row r="115" spans="1:9" x14ac:dyDescent="0.35">
      <c r="A115" s="7">
        <v>131</v>
      </c>
      <c r="B115" s="7" t="s">
        <v>192</v>
      </c>
      <c r="C115" s="7" t="s">
        <v>21</v>
      </c>
      <c r="D115" s="7" t="s">
        <v>8</v>
      </c>
      <c r="E115" s="7" t="s">
        <v>193</v>
      </c>
      <c r="F115" s="7" t="s">
        <v>13</v>
      </c>
      <c r="G115" s="8"/>
      <c r="H115" s="7" t="s">
        <v>266</v>
      </c>
      <c r="I115">
        <v>1</v>
      </c>
    </row>
    <row r="116" spans="1:9" x14ac:dyDescent="0.35">
      <c r="A116" s="7">
        <v>132</v>
      </c>
      <c r="B116" s="7" t="s">
        <v>194</v>
      </c>
      <c r="C116" s="7" t="s">
        <v>61</v>
      </c>
      <c r="D116" s="7" t="s">
        <v>9</v>
      </c>
      <c r="E116" s="7" t="s">
        <v>9</v>
      </c>
      <c r="F116" s="7" t="s">
        <v>13</v>
      </c>
      <c r="G116" s="8"/>
      <c r="H116" s="10" t="s">
        <v>266</v>
      </c>
      <c r="I116">
        <v>1</v>
      </c>
    </row>
    <row r="117" spans="1:9" x14ac:dyDescent="0.35">
      <c r="A117" s="7">
        <v>133</v>
      </c>
      <c r="B117" s="7" t="s">
        <v>195</v>
      </c>
      <c r="C117" s="7" t="s">
        <v>37</v>
      </c>
      <c r="D117" s="7" t="s">
        <v>9</v>
      </c>
      <c r="E117" s="7" t="s">
        <v>9</v>
      </c>
      <c r="F117" s="7" t="s">
        <v>13</v>
      </c>
      <c r="G117" s="8"/>
      <c r="H117" s="10" t="s">
        <v>25</v>
      </c>
      <c r="I117">
        <v>1</v>
      </c>
    </row>
    <row r="118" spans="1:9" x14ac:dyDescent="0.35">
      <c r="A118" s="7">
        <v>134</v>
      </c>
      <c r="B118" s="7" t="s">
        <v>196</v>
      </c>
      <c r="C118" s="7" t="s">
        <v>31</v>
      </c>
      <c r="D118" s="7" t="s">
        <v>8</v>
      </c>
      <c r="E118" s="7" t="s">
        <v>60</v>
      </c>
      <c r="F118" s="7" t="s">
        <v>13</v>
      </c>
      <c r="G118" s="21">
        <v>46196</v>
      </c>
      <c r="H118" s="10" t="s">
        <v>24</v>
      </c>
      <c r="I118">
        <v>1</v>
      </c>
    </row>
    <row r="119" spans="1:9" x14ac:dyDescent="0.35">
      <c r="A119" s="7">
        <v>135</v>
      </c>
      <c r="B119" s="7" t="s">
        <v>197</v>
      </c>
      <c r="C119" s="7" t="s">
        <v>23</v>
      </c>
      <c r="D119" s="7" t="s">
        <v>8</v>
      </c>
      <c r="E119" s="7" t="s">
        <v>193</v>
      </c>
      <c r="F119" s="7" t="s">
        <v>13</v>
      </c>
      <c r="G119" s="8"/>
      <c r="H119" s="10" t="s">
        <v>25</v>
      </c>
      <c r="I119">
        <v>1</v>
      </c>
    </row>
    <row r="120" spans="1:9" x14ac:dyDescent="0.35">
      <c r="A120" s="7">
        <v>136</v>
      </c>
      <c r="B120" s="7" t="s">
        <v>167</v>
      </c>
      <c r="C120" s="7" t="s">
        <v>23</v>
      </c>
      <c r="D120" s="7" t="s">
        <v>8</v>
      </c>
      <c r="E120" s="7" t="s">
        <v>60</v>
      </c>
      <c r="F120" s="7" t="s">
        <v>13</v>
      </c>
      <c r="G120" s="8"/>
      <c r="H120" s="10" t="s">
        <v>25</v>
      </c>
      <c r="I120">
        <v>1</v>
      </c>
    </row>
    <row r="121" spans="1:9" x14ac:dyDescent="0.35">
      <c r="A121" s="7">
        <v>137</v>
      </c>
      <c r="B121" s="7" t="s">
        <v>198</v>
      </c>
      <c r="C121" s="7" t="s">
        <v>21</v>
      </c>
      <c r="D121" s="7" t="s">
        <v>8</v>
      </c>
      <c r="E121" s="7" t="s">
        <v>60</v>
      </c>
      <c r="F121" s="7" t="s">
        <v>13</v>
      </c>
      <c r="G121" s="21">
        <v>46197</v>
      </c>
      <c r="H121" s="7" t="s">
        <v>266</v>
      </c>
      <c r="I121">
        <v>1</v>
      </c>
    </row>
    <row r="122" spans="1:9" x14ac:dyDescent="0.35">
      <c r="A122" s="7">
        <v>138</v>
      </c>
      <c r="B122" s="7" t="s">
        <v>199</v>
      </c>
      <c r="C122" s="7" t="s">
        <v>53</v>
      </c>
      <c r="D122" s="7" t="s">
        <v>8</v>
      </c>
      <c r="E122" s="7" t="s">
        <v>170</v>
      </c>
      <c r="F122" s="7" t="s">
        <v>13</v>
      </c>
      <c r="G122" s="8"/>
      <c r="H122" s="10" t="s">
        <v>25</v>
      </c>
      <c r="I122">
        <v>1</v>
      </c>
    </row>
    <row r="123" spans="1:9" x14ac:dyDescent="0.35">
      <c r="A123" s="7">
        <v>139</v>
      </c>
      <c r="B123" s="7" t="s">
        <v>200</v>
      </c>
      <c r="C123" s="7" t="s">
        <v>21</v>
      </c>
      <c r="D123" s="7" t="s">
        <v>8</v>
      </c>
      <c r="E123" s="7" t="s">
        <v>201</v>
      </c>
      <c r="F123" s="7" t="s">
        <v>13</v>
      </c>
      <c r="G123" s="8"/>
      <c r="H123" s="7" t="s">
        <v>266</v>
      </c>
      <c r="I123">
        <v>1</v>
      </c>
    </row>
    <row r="124" spans="1:9" x14ac:dyDescent="0.35">
      <c r="A124" s="7">
        <v>140</v>
      </c>
      <c r="B124" s="7" t="s">
        <v>202</v>
      </c>
      <c r="C124" s="7" t="s">
        <v>45</v>
      </c>
      <c r="D124" s="7" t="s">
        <v>8</v>
      </c>
      <c r="E124" s="7" t="s">
        <v>112</v>
      </c>
      <c r="F124" s="7" t="s">
        <v>13</v>
      </c>
      <c r="G124" s="8"/>
      <c r="H124" s="10" t="s">
        <v>25</v>
      </c>
      <c r="I124">
        <v>1</v>
      </c>
    </row>
    <row r="125" spans="1:9" x14ac:dyDescent="0.35">
      <c r="A125" s="7">
        <v>141</v>
      </c>
      <c r="B125" s="7" t="s">
        <v>203</v>
      </c>
      <c r="C125" s="7" t="s">
        <v>39</v>
      </c>
      <c r="D125" s="7" t="s">
        <v>9</v>
      </c>
      <c r="E125" s="7" t="s">
        <v>9</v>
      </c>
      <c r="F125" s="7" t="s">
        <v>13</v>
      </c>
      <c r="G125" s="8"/>
      <c r="H125" s="10" t="s">
        <v>25</v>
      </c>
      <c r="I125">
        <v>1</v>
      </c>
    </row>
    <row r="126" spans="1:9" x14ac:dyDescent="0.35">
      <c r="A126" s="7">
        <v>142</v>
      </c>
      <c r="B126" s="7" t="s">
        <v>204</v>
      </c>
      <c r="C126" s="7" t="s">
        <v>21</v>
      </c>
      <c r="D126" s="7" t="s">
        <v>8</v>
      </c>
      <c r="E126" s="7" t="s">
        <v>193</v>
      </c>
      <c r="F126" s="7" t="s">
        <v>13</v>
      </c>
      <c r="G126" s="8"/>
      <c r="H126" s="7" t="s">
        <v>266</v>
      </c>
      <c r="I126">
        <v>1</v>
      </c>
    </row>
    <row r="127" spans="1:9" x14ac:dyDescent="0.35">
      <c r="A127" s="7">
        <v>143</v>
      </c>
      <c r="B127" s="7" t="s">
        <v>205</v>
      </c>
      <c r="C127" s="7" t="s">
        <v>46</v>
      </c>
      <c r="D127" s="7" t="s">
        <v>8</v>
      </c>
      <c r="E127" s="7" t="s">
        <v>60</v>
      </c>
      <c r="F127" s="7" t="s">
        <v>13</v>
      </c>
      <c r="G127" s="21">
        <v>46196</v>
      </c>
      <c r="H127" s="7" t="s">
        <v>266</v>
      </c>
      <c r="I127">
        <v>1</v>
      </c>
    </row>
    <row r="128" spans="1:9" x14ac:dyDescent="0.35">
      <c r="A128" s="7">
        <v>144</v>
      </c>
      <c r="B128" s="7" t="s">
        <v>206</v>
      </c>
      <c r="C128" s="7" t="s">
        <v>21</v>
      </c>
      <c r="D128" s="7" t="s">
        <v>8</v>
      </c>
      <c r="E128" s="7" t="s">
        <v>56</v>
      </c>
      <c r="F128" s="7" t="s">
        <v>13</v>
      </c>
      <c r="G128" s="8"/>
      <c r="H128" s="7" t="s">
        <v>266</v>
      </c>
      <c r="I128">
        <v>1</v>
      </c>
    </row>
    <row r="129" spans="1:9" x14ac:dyDescent="0.35">
      <c r="A129" s="7">
        <v>145</v>
      </c>
      <c r="B129" s="7" t="s">
        <v>207</v>
      </c>
      <c r="C129" s="7" t="s">
        <v>268</v>
      </c>
      <c r="D129" s="7" t="s">
        <v>8</v>
      </c>
      <c r="E129" s="7" t="s">
        <v>60</v>
      </c>
      <c r="F129" s="7" t="s">
        <v>13</v>
      </c>
      <c r="G129" s="8"/>
      <c r="H129" s="7" t="s">
        <v>266</v>
      </c>
      <c r="I129">
        <v>1</v>
      </c>
    </row>
    <row r="130" spans="1:9" x14ac:dyDescent="0.35">
      <c r="A130" s="7">
        <v>146</v>
      </c>
      <c r="B130" s="7" t="s">
        <v>208</v>
      </c>
      <c r="C130" s="7" t="s">
        <v>37</v>
      </c>
      <c r="D130" s="7" t="s">
        <v>9</v>
      </c>
      <c r="E130" s="7" t="s">
        <v>9</v>
      </c>
      <c r="F130" s="7" t="s">
        <v>13</v>
      </c>
      <c r="G130" s="8"/>
      <c r="H130" s="10" t="s">
        <v>25</v>
      </c>
      <c r="I130">
        <v>1</v>
      </c>
    </row>
    <row r="131" spans="1:9" x14ac:dyDescent="0.35">
      <c r="A131" s="7">
        <v>147</v>
      </c>
      <c r="B131" s="7" t="s">
        <v>209</v>
      </c>
      <c r="C131" s="7" t="s">
        <v>57</v>
      </c>
      <c r="D131" s="7" t="s">
        <v>8</v>
      </c>
      <c r="E131" s="7" t="s">
        <v>112</v>
      </c>
      <c r="F131" s="7" t="s">
        <v>13</v>
      </c>
      <c r="G131" s="8"/>
      <c r="H131" s="7" t="s">
        <v>266</v>
      </c>
      <c r="I131">
        <v>1</v>
      </c>
    </row>
    <row r="132" spans="1:9" x14ac:dyDescent="0.35">
      <c r="A132" s="7">
        <v>148</v>
      </c>
      <c r="B132" s="7" t="s">
        <v>210</v>
      </c>
      <c r="C132" s="7" t="s">
        <v>268</v>
      </c>
      <c r="D132" s="7" t="s">
        <v>8</v>
      </c>
      <c r="E132" s="7" t="s">
        <v>56</v>
      </c>
      <c r="F132" s="7" t="s">
        <v>13</v>
      </c>
      <c r="G132" s="8"/>
      <c r="H132" s="7" t="s">
        <v>266</v>
      </c>
      <c r="I132">
        <v>1</v>
      </c>
    </row>
    <row r="133" spans="1:9" x14ac:dyDescent="0.35">
      <c r="A133" s="7">
        <v>149</v>
      </c>
      <c r="B133" s="7" t="s">
        <v>211</v>
      </c>
      <c r="C133" s="7" t="s">
        <v>23</v>
      </c>
      <c r="D133" s="7" t="s">
        <v>8</v>
      </c>
      <c r="E133" s="7" t="s">
        <v>56</v>
      </c>
      <c r="F133" s="7" t="s">
        <v>13</v>
      </c>
      <c r="G133" s="8"/>
      <c r="H133" s="10" t="s">
        <v>25</v>
      </c>
      <c r="I133">
        <v>1</v>
      </c>
    </row>
    <row r="134" spans="1:9" x14ac:dyDescent="0.35">
      <c r="A134" s="7">
        <v>150</v>
      </c>
      <c r="B134" s="7" t="s">
        <v>212</v>
      </c>
      <c r="C134" s="7" t="s">
        <v>37</v>
      </c>
      <c r="D134" s="7" t="s">
        <v>8</v>
      </c>
      <c r="E134" s="7" t="s">
        <v>213</v>
      </c>
      <c r="F134" s="7" t="s">
        <v>13</v>
      </c>
      <c r="G134" s="8"/>
      <c r="H134" s="10" t="s">
        <v>25</v>
      </c>
      <c r="I134">
        <v>1</v>
      </c>
    </row>
    <row r="135" spans="1:9" x14ac:dyDescent="0.35">
      <c r="A135" s="7">
        <v>151</v>
      </c>
      <c r="B135" s="7" t="s">
        <v>214</v>
      </c>
      <c r="C135" s="7" t="s">
        <v>268</v>
      </c>
      <c r="D135" s="7" t="s">
        <v>8</v>
      </c>
      <c r="E135" s="7" t="s">
        <v>60</v>
      </c>
      <c r="F135" s="7" t="s">
        <v>13</v>
      </c>
      <c r="G135" s="8"/>
      <c r="H135" s="10" t="s">
        <v>266</v>
      </c>
      <c r="I135">
        <v>1</v>
      </c>
    </row>
    <row r="136" spans="1:9" x14ac:dyDescent="0.35">
      <c r="A136" s="7">
        <v>152</v>
      </c>
      <c r="B136" s="7" t="s">
        <v>215</v>
      </c>
      <c r="C136" s="7" t="s">
        <v>29</v>
      </c>
      <c r="D136" s="7" t="s">
        <v>8</v>
      </c>
      <c r="E136" s="7" t="s">
        <v>112</v>
      </c>
      <c r="F136" s="7" t="s">
        <v>13</v>
      </c>
      <c r="G136" s="8"/>
      <c r="H136" s="7" t="s">
        <v>266</v>
      </c>
      <c r="I136">
        <v>1</v>
      </c>
    </row>
    <row r="137" spans="1:9" x14ac:dyDescent="0.35">
      <c r="A137" s="7">
        <v>153</v>
      </c>
      <c r="B137" s="7" t="s">
        <v>216</v>
      </c>
      <c r="C137" s="7" t="s">
        <v>29</v>
      </c>
      <c r="D137" s="7" t="s">
        <v>8</v>
      </c>
      <c r="E137" s="7" t="s">
        <v>56</v>
      </c>
      <c r="F137" s="7" t="s">
        <v>13</v>
      </c>
      <c r="G137" s="8"/>
      <c r="H137" s="7" t="s">
        <v>266</v>
      </c>
      <c r="I137">
        <v>1</v>
      </c>
    </row>
    <row r="138" spans="1:9" x14ac:dyDescent="0.35">
      <c r="A138" s="7">
        <v>154</v>
      </c>
      <c r="B138" s="7" t="s">
        <v>217</v>
      </c>
      <c r="C138" s="7" t="s">
        <v>45</v>
      </c>
      <c r="D138" s="7" t="s">
        <v>9</v>
      </c>
      <c r="E138" s="7" t="s">
        <v>9</v>
      </c>
      <c r="F138" s="7" t="s">
        <v>13</v>
      </c>
      <c r="G138" s="8"/>
      <c r="H138" s="10" t="s">
        <v>25</v>
      </c>
      <c r="I138">
        <v>1</v>
      </c>
    </row>
    <row r="139" spans="1:9" x14ac:dyDescent="0.35">
      <c r="A139" s="7">
        <v>155</v>
      </c>
      <c r="B139" s="7" t="s">
        <v>218</v>
      </c>
      <c r="C139" s="7" t="s">
        <v>37</v>
      </c>
      <c r="D139" s="7" t="s">
        <v>9</v>
      </c>
      <c r="E139" s="7" t="s">
        <v>9</v>
      </c>
      <c r="F139" s="7" t="s">
        <v>13</v>
      </c>
      <c r="G139" s="21">
        <v>46197</v>
      </c>
      <c r="H139" s="7" t="s">
        <v>266</v>
      </c>
      <c r="I139">
        <v>1</v>
      </c>
    </row>
    <row r="140" spans="1:9" x14ac:dyDescent="0.35">
      <c r="A140" s="7">
        <v>156</v>
      </c>
      <c r="B140" s="7" t="s">
        <v>219</v>
      </c>
      <c r="C140" s="7" t="s">
        <v>65</v>
      </c>
      <c r="D140" s="7" t="s">
        <v>8</v>
      </c>
      <c r="E140" s="7" t="s">
        <v>56</v>
      </c>
      <c r="F140" s="7" t="s">
        <v>13</v>
      </c>
      <c r="G140" s="21"/>
      <c r="H140" s="10" t="s">
        <v>24</v>
      </c>
      <c r="I140">
        <v>1</v>
      </c>
    </row>
    <row r="141" spans="1:9" x14ac:dyDescent="0.35">
      <c r="A141" s="7">
        <v>157</v>
      </c>
      <c r="B141" s="7" t="s">
        <v>220</v>
      </c>
      <c r="C141" s="7" t="s">
        <v>21</v>
      </c>
      <c r="D141" s="7" t="s">
        <v>9</v>
      </c>
      <c r="E141" s="7" t="s">
        <v>9</v>
      </c>
      <c r="F141" s="7" t="s">
        <v>13</v>
      </c>
      <c r="G141" s="8"/>
      <c r="H141" s="7" t="s">
        <v>266</v>
      </c>
      <c r="I141">
        <v>1</v>
      </c>
    </row>
    <row r="142" spans="1:9" x14ac:dyDescent="0.35">
      <c r="A142" s="7">
        <v>158</v>
      </c>
      <c r="B142" s="7" t="s">
        <v>221</v>
      </c>
      <c r="C142" s="7" t="s">
        <v>21</v>
      </c>
      <c r="D142" s="7" t="s">
        <v>9</v>
      </c>
      <c r="E142" s="7" t="s">
        <v>9</v>
      </c>
      <c r="F142" s="7" t="s">
        <v>13</v>
      </c>
      <c r="G142" s="8"/>
      <c r="H142" s="7" t="s">
        <v>266</v>
      </c>
      <c r="I142">
        <v>1</v>
      </c>
    </row>
    <row r="143" spans="1:9" x14ac:dyDescent="0.35">
      <c r="A143" s="7">
        <v>159</v>
      </c>
      <c r="B143" s="7" t="s">
        <v>222</v>
      </c>
      <c r="C143" s="7" t="s">
        <v>37</v>
      </c>
      <c r="D143" s="7" t="s">
        <v>8</v>
      </c>
      <c r="E143" s="7" t="s">
        <v>213</v>
      </c>
      <c r="F143" s="7" t="s">
        <v>13</v>
      </c>
      <c r="G143" s="8"/>
      <c r="H143" s="10" t="s">
        <v>24</v>
      </c>
      <c r="I143">
        <v>1</v>
      </c>
    </row>
    <row r="144" spans="1:9" x14ac:dyDescent="0.35">
      <c r="A144" s="7">
        <v>160</v>
      </c>
      <c r="B144" s="7" t="s">
        <v>91</v>
      </c>
      <c r="C144" s="7" t="s">
        <v>267</v>
      </c>
      <c r="D144" s="7" t="s">
        <v>9</v>
      </c>
      <c r="E144" s="7" t="s">
        <v>9</v>
      </c>
      <c r="F144" s="7" t="s">
        <v>13</v>
      </c>
      <c r="G144" s="21">
        <v>46197</v>
      </c>
      <c r="H144" s="7" t="s">
        <v>266</v>
      </c>
      <c r="I144">
        <v>1</v>
      </c>
    </row>
    <row r="145" spans="1:9" x14ac:dyDescent="0.35">
      <c r="A145" s="7">
        <v>161</v>
      </c>
      <c r="B145" s="7" t="s">
        <v>223</v>
      </c>
      <c r="C145" s="7" t="s">
        <v>21</v>
      </c>
      <c r="D145" s="7" t="s">
        <v>8</v>
      </c>
      <c r="E145" s="7" t="s">
        <v>60</v>
      </c>
      <c r="F145" s="7" t="s">
        <v>13</v>
      </c>
      <c r="G145" s="8"/>
      <c r="H145" s="7" t="s">
        <v>266</v>
      </c>
      <c r="I145">
        <v>1</v>
      </c>
    </row>
    <row r="146" spans="1:9" x14ac:dyDescent="0.35">
      <c r="A146" s="7">
        <v>162</v>
      </c>
      <c r="B146" s="7" t="s">
        <v>224</v>
      </c>
      <c r="C146" s="7" t="s">
        <v>267</v>
      </c>
      <c r="D146" s="7" t="s">
        <v>8</v>
      </c>
      <c r="E146" s="7" t="s">
        <v>56</v>
      </c>
      <c r="F146" s="7" t="s">
        <v>13</v>
      </c>
      <c r="G146" s="8"/>
      <c r="H146" s="7" t="s">
        <v>266</v>
      </c>
      <c r="I146">
        <v>1</v>
      </c>
    </row>
    <row r="147" spans="1:9" x14ac:dyDescent="0.35">
      <c r="A147" s="7">
        <v>163</v>
      </c>
      <c r="B147" s="7" t="s">
        <v>225</v>
      </c>
      <c r="C147" s="7" t="s">
        <v>37</v>
      </c>
      <c r="D147" s="7" t="s">
        <v>9</v>
      </c>
      <c r="E147" s="7" t="s">
        <v>9</v>
      </c>
      <c r="F147" s="7" t="s">
        <v>13</v>
      </c>
      <c r="G147" s="8"/>
      <c r="H147" s="10" t="s">
        <v>25</v>
      </c>
      <c r="I147">
        <v>1</v>
      </c>
    </row>
    <row r="148" spans="1:9" x14ac:dyDescent="0.35">
      <c r="A148" s="7">
        <v>164</v>
      </c>
      <c r="B148" s="7" t="s">
        <v>226</v>
      </c>
      <c r="C148" s="7" t="s">
        <v>21</v>
      </c>
      <c r="D148" s="7" t="s">
        <v>8</v>
      </c>
      <c r="E148" s="7" t="s">
        <v>193</v>
      </c>
      <c r="F148" s="7" t="s">
        <v>13</v>
      </c>
      <c r="G148" s="8"/>
      <c r="H148" s="7" t="s">
        <v>266</v>
      </c>
      <c r="I148">
        <v>1</v>
      </c>
    </row>
    <row r="149" spans="1:9" x14ac:dyDescent="0.35">
      <c r="A149" s="7">
        <v>165</v>
      </c>
      <c r="B149" s="7" t="s">
        <v>227</v>
      </c>
      <c r="C149" s="7" t="s">
        <v>21</v>
      </c>
      <c r="D149" s="7" t="s">
        <v>8</v>
      </c>
      <c r="E149" s="7" t="s">
        <v>228</v>
      </c>
      <c r="F149" s="7" t="s">
        <v>13</v>
      </c>
      <c r="G149" s="8"/>
      <c r="H149" s="7" t="s">
        <v>266</v>
      </c>
      <c r="I149">
        <v>1</v>
      </c>
    </row>
    <row r="150" spans="1:9" x14ac:dyDescent="0.35">
      <c r="A150" s="7">
        <v>166</v>
      </c>
      <c r="B150" s="7" t="s">
        <v>229</v>
      </c>
      <c r="C150" s="7" t="s">
        <v>21</v>
      </c>
      <c r="D150" s="7" t="s">
        <v>8</v>
      </c>
      <c r="E150" s="7" t="s">
        <v>56</v>
      </c>
      <c r="F150" s="7" t="s">
        <v>13</v>
      </c>
      <c r="G150" s="8"/>
      <c r="H150" s="7" t="s">
        <v>266</v>
      </c>
      <c r="I150">
        <v>1</v>
      </c>
    </row>
    <row r="151" spans="1:9" x14ac:dyDescent="0.35">
      <c r="A151" s="7">
        <v>167</v>
      </c>
      <c r="B151" s="7" t="s">
        <v>230</v>
      </c>
      <c r="C151" s="7" t="s">
        <v>267</v>
      </c>
      <c r="D151" s="7" t="s">
        <v>9</v>
      </c>
      <c r="E151" s="7" t="s">
        <v>9</v>
      </c>
      <c r="F151" s="7" t="s">
        <v>13</v>
      </c>
      <c r="G151" s="21">
        <v>46197</v>
      </c>
      <c r="H151" s="7" t="s">
        <v>266</v>
      </c>
      <c r="I151">
        <v>1</v>
      </c>
    </row>
    <row r="152" spans="1:9" x14ac:dyDescent="0.35">
      <c r="A152" s="7">
        <v>168</v>
      </c>
      <c r="B152" s="7" t="s">
        <v>93</v>
      </c>
      <c r="C152" s="7" t="s">
        <v>37</v>
      </c>
      <c r="D152" s="7" t="s">
        <v>9</v>
      </c>
      <c r="E152" s="7" t="s">
        <v>9</v>
      </c>
      <c r="F152" s="7" t="s">
        <v>13</v>
      </c>
      <c r="G152" s="21"/>
      <c r="H152" s="10" t="s">
        <v>25</v>
      </c>
      <c r="I152">
        <v>1</v>
      </c>
    </row>
    <row r="153" spans="1:9" x14ac:dyDescent="0.35">
      <c r="A153" s="7">
        <v>169</v>
      </c>
      <c r="B153" s="7" t="s">
        <v>231</v>
      </c>
      <c r="C153" s="7" t="s">
        <v>21</v>
      </c>
      <c r="D153" s="7" t="s">
        <v>8</v>
      </c>
      <c r="E153" s="7" t="s">
        <v>60</v>
      </c>
      <c r="F153" s="7" t="s">
        <v>13</v>
      </c>
      <c r="G153" s="8"/>
      <c r="H153" s="7" t="s">
        <v>266</v>
      </c>
      <c r="I153">
        <v>1</v>
      </c>
    </row>
    <row r="154" spans="1:9" x14ac:dyDescent="0.35">
      <c r="A154" s="7">
        <v>170</v>
      </c>
      <c r="B154" s="7" t="s">
        <v>232</v>
      </c>
      <c r="C154" s="7" t="s">
        <v>268</v>
      </c>
      <c r="D154" s="7" t="s">
        <v>8</v>
      </c>
      <c r="E154" s="7" t="s">
        <v>233</v>
      </c>
      <c r="F154" s="7" t="s">
        <v>13</v>
      </c>
      <c r="G154" s="8"/>
      <c r="H154" s="7" t="s">
        <v>266</v>
      </c>
      <c r="I154">
        <v>1</v>
      </c>
    </row>
    <row r="155" spans="1:9" x14ac:dyDescent="0.35">
      <c r="A155" s="7">
        <v>171</v>
      </c>
      <c r="B155" s="7" t="s">
        <v>234</v>
      </c>
      <c r="C155" s="7" t="s">
        <v>21</v>
      </c>
      <c r="D155" s="7" t="s">
        <v>8</v>
      </c>
      <c r="E155" s="7" t="s">
        <v>235</v>
      </c>
      <c r="F155" s="7" t="s">
        <v>13</v>
      </c>
      <c r="G155" s="8"/>
      <c r="H155" s="7" t="s">
        <v>266</v>
      </c>
      <c r="I155">
        <v>1</v>
      </c>
    </row>
    <row r="156" spans="1:9" x14ac:dyDescent="0.35">
      <c r="A156" s="7">
        <v>172</v>
      </c>
      <c r="B156" s="7" t="s">
        <v>236</v>
      </c>
      <c r="C156" s="7" t="s">
        <v>23</v>
      </c>
      <c r="D156" s="7" t="s">
        <v>8</v>
      </c>
      <c r="E156" s="7" t="s">
        <v>56</v>
      </c>
      <c r="F156" s="7" t="s">
        <v>13</v>
      </c>
      <c r="G156" s="8"/>
      <c r="H156" s="10" t="s">
        <v>25</v>
      </c>
      <c r="I156">
        <v>1</v>
      </c>
    </row>
    <row r="157" spans="1:9" x14ac:dyDescent="0.35">
      <c r="A157" s="7">
        <v>173</v>
      </c>
      <c r="B157" s="7" t="s">
        <v>237</v>
      </c>
      <c r="C157" s="7" t="s">
        <v>21</v>
      </c>
      <c r="D157" s="7" t="s">
        <v>8</v>
      </c>
      <c r="E157" s="7" t="s">
        <v>56</v>
      </c>
      <c r="F157" s="7" t="s">
        <v>13</v>
      </c>
      <c r="G157" s="8"/>
      <c r="H157" s="7" t="s">
        <v>266</v>
      </c>
      <c r="I157">
        <v>1</v>
      </c>
    </row>
    <row r="158" spans="1:9" x14ac:dyDescent="0.35">
      <c r="A158" s="7">
        <v>174</v>
      </c>
      <c r="B158" s="7" t="s">
        <v>238</v>
      </c>
      <c r="C158" s="7" t="s">
        <v>21</v>
      </c>
      <c r="D158" s="7" t="s">
        <v>8</v>
      </c>
      <c r="E158" s="7" t="s">
        <v>60</v>
      </c>
      <c r="F158" s="7" t="s">
        <v>13</v>
      </c>
      <c r="G158" s="8"/>
      <c r="H158" s="7" t="s">
        <v>266</v>
      </c>
      <c r="I158">
        <v>1</v>
      </c>
    </row>
    <row r="159" spans="1:9" x14ac:dyDescent="0.35">
      <c r="A159" s="7">
        <v>175</v>
      </c>
      <c r="B159" s="7" t="s">
        <v>239</v>
      </c>
      <c r="C159" s="7" t="s">
        <v>21</v>
      </c>
      <c r="D159" s="7" t="s">
        <v>8</v>
      </c>
      <c r="E159" s="7" t="s">
        <v>240</v>
      </c>
      <c r="F159" s="7" t="s">
        <v>13</v>
      </c>
      <c r="G159" s="8"/>
      <c r="H159" s="7" t="s">
        <v>266</v>
      </c>
      <c r="I159">
        <v>1</v>
      </c>
    </row>
    <row r="160" spans="1:9" x14ac:dyDescent="0.35">
      <c r="A160" s="7">
        <v>176</v>
      </c>
      <c r="B160" s="7" t="s">
        <v>241</v>
      </c>
      <c r="C160" s="7" t="s">
        <v>21</v>
      </c>
      <c r="D160" s="7" t="s">
        <v>8</v>
      </c>
      <c r="E160" s="7" t="s">
        <v>242</v>
      </c>
      <c r="F160" s="7" t="s">
        <v>13</v>
      </c>
      <c r="G160" s="8"/>
      <c r="H160" s="7" t="s">
        <v>266</v>
      </c>
      <c r="I160">
        <v>1</v>
      </c>
    </row>
    <row r="161" spans="1:9" x14ac:dyDescent="0.35">
      <c r="A161" s="7">
        <v>177</v>
      </c>
      <c r="B161" s="7" t="s">
        <v>243</v>
      </c>
      <c r="C161" s="7" t="s">
        <v>34</v>
      </c>
      <c r="D161" s="7" t="s">
        <v>9</v>
      </c>
      <c r="E161" s="7" t="s">
        <v>9</v>
      </c>
      <c r="F161" s="7" t="s">
        <v>269</v>
      </c>
      <c r="G161" s="8"/>
      <c r="H161" s="7" t="s">
        <v>266</v>
      </c>
      <c r="I161">
        <v>1</v>
      </c>
    </row>
    <row r="162" spans="1:9" x14ac:dyDescent="0.35">
      <c r="A162" s="7">
        <v>178</v>
      </c>
      <c r="B162" s="7" t="s">
        <v>243</v>
      </c>
      <c r="C162" s="7" t="s">
        <v>34</v>
      </c>
      <c r="D162" s="7" t="s">
        <v>9</v>
      </c>
      <c r="E162" s="7" t="s">
        <v>9</v>
      </c>
      <c r="F162" s="7" t="s">
        <v>269</v>
      </c>
      <c r="G162" s="8"/>
      <c r="H162" s="7" t="s">
        <v>266</v>
      </c>
      <c r="I162">
        <v>1</v>
      </c>
    </row>
    <row r="163" spans="1:9" x14ac:dyDescent="0.35">
      <c r="A163" s="7">
        <v>179</v>
      </c>
      <c r="B163" s="7" t="s">
        <v>243</v>
      </c>
      <c r="C163" s="7" t="s">
        <v>34</v>
      </c>
      <c r="D163" s="7" t="s">
        <v>9</v>
      </c>
      <c r="E163" s="7" t="s">
        <v>9</v>
      </c>
      <c r="F163" s="7" t="s">
        <v>269</v>
      </c>
      <c r="G163" s="8"/>
      <c r="H163" s="7" t="s">
        <v>266</v>
      </c>
      <c r="I163">
        <v>1</v>
      </c>
    </row>
    <row r="164" spans="1:9" x14ac:dyDescent="0.35">
      <c r="A164" s="7">
        <v>180</v>
      </c>
      <c r="B164" s="7" t="s">
        <v>243</v>
      </c>
      <c r="C164" s="7" t="s">
        <v>34</v>
      </c>
      <c r="D164" s="7" t="s">
        <v>9</v>
      </c>
      <c r="E164" s="7" t="s">
        <v>9</v>
      </c>
      <c r="F164" s="7" t="s">
        <v>269</v>
      </c>
      <c r="G164" s="8"/>
      <c r="H164" s="7" t="s">
        <v>266</v>
      </c>
      <c r="I164">
        <v>1</v>
      </c>
    </row>
    <row r="165" spans="1:9" x14ac:dyDescent="0.35">
      <c r="A165" s="7">
        <v>181</v>
      </c>
      <c r="B165" s="7" t="s">
        <v>243</v>
      </c>
      <c r="C165" s="7" t="s">
        <v>34</v>
      </c>
      <c r="D165" s="7" t="s">
        <v>9</v>
      </c>
      <c r="E165" s="7" t="s">
        <v>9</v>
      </c>
      <c r="F165" s="7" t="s">
        <v>269</v>
      </c>
      <c r="G165" s="8"/>
      <c r="H165" s="7" t="s">
        <v>266</v>
      </c>
      <c r="I165">
        <v>1</v>
      </c>
    </row>
    <row r="166" spans="1:9" x14ac:dyDescent="0.35">
      <c r="A166" s="7">
        <v>182</v>
      </c>
      <c r="B166" s="7" t="s">
        <v>243</v>
      </c>
      <c r="C166" s="7" t="s">
        <v>34</v>
      </c>
      <c r="D166" s="7" t="s">
        <v>9</v>
      </c>
      <c r="E166" s="7" t="s">
        <v>9</v>
      </c>
      <c r="F166" s="7" t="s">
        <v>269</v>
      </c>
      <c r="G166" s="8"/>
      <c r="H166" s="7" t="s">
        <v>266</v>
      </c>
      <c r="I166">
        <v>1</v>
      </c>
    </row>
    <row r="167" spans="1:9" x14ac:dyDescent="0.35">
      <c r="A167" s="7">
        <v>183</v>
      </c>
      <c r="B167" s="7" t="s">
        <v>243</v>
      </c>
      <c r="C167" s="7" t="s">
        <v>34</v>
      </c>
      <c r="D167" s="7" t="s">
        <v>9</v>
      </c>
      <c r="E167" s="7" t="s">
        <v>9</v>
      </c>
      <c r="F167" s="7" t="s">
        <v>269</v>
      </c>
      <c r="G167" s="8"/>
      <c r="H167" s="7" t="s">
        <v>266</v>
      </c>
      <c r="I167">
        <v>1</v>
      </c>
    </row>
    <row r="168" spans="1:9" x14ac:dyDescent="0.35">
      <c r="A168" s="7">
        <v>184</v>
      </c>
      <c r="B168" s="7" t="s">
        <v>243</v>
      </c>
      <c r="C168" s="7" t="s">
        <v>34</v>
      </c>
      <c r="D168" s="7" t="s">
        <v>9</v>
      </c>
      <c r="E168" s="7" t="s">
        <v>9</v>
      </c>
      <c r="F168" s="7" t="s">
        <v>269</v>
      </c>
      <c r="G168" s="8"/>
      <c r="H168" s="7" t="s">
        <v>266</v>
      </c>
      <c r="I168">
        <v>1</v>
      </c>
    </row>
    <row r="169" spans="1:9" x14ac:dyDescent="0.35">
      <c r="A169" s="7">
        <v>185</v>
      </c>
      <c r="B169" s="7" t="s">
        <v>243</v>
      </c>
      <c r="C169" s="7" t="s">
        <v>34</v>
      </c>
      <c r="D169" s="7" t="s">
        <v>9</v>
      </c>
      <c r="E169" s="7" t="s">
        <v>9</v>
      </c>
      <c r="F169" s="7" t="s">
        <v>269</v>
      </c>
      <c r="G169" s="8"/>
      <c r="H169" s="7" t="s">
        <v>266</v>
      </c>
      <c r="I169">
        <v>1</v>
      </c>
    </row>
    <row r="170" spans="1:9" x14ac:dyDescent="0.35">
      <c r="A170" s="7">
        <v>186</v>
      </c>
      <c r="B170" s="7" t="s">
        <v>243</v>
      </c>
      <c r="C170" s="7" t="s">
        <v>42</v>
      </c>
      <c r="D170" s="7" t="s">
        <v>9</v>
      </c>
      <c r="E170" s="7" t="s">
        <v>9</v>
      </c>
      <c r="F170" s="7" t="s">
        <v>269</v>
      </c>
      <c r="G170" s="8"/>
      <c r="H170" s="7" t="s">
        <v>266</v>
      </c>
      <c r="I170">
        <v>1</v>
      </c>
    </row>
    <row r="171" spans="1:9" x14ac:dyDescent="0.35">
      <c r="A171" s="7">
        <v>187</v>
      </c>
      <c r="B171" s="7" t="s">
        <v>243</v>
      </c>
      <c r="C171" s="7" t="s">
        <v>42</v>
      </c>
      <c r="D171" s="7" t="s">
        <v>9</v>
      </c>
      <c r="E171" s="7" t="s">
        <v>9</v>
      </c>
      <c r="F171" s="7" t="s">
        <v>269</v>
      </c>
      <c r="G171" s="8"/>
      <c r="H171" s="7" t="s">
        <v>266</v>
      </c>
      <c r="I171">
        <v>1</v>
      </c>
    </row>
    <row r="172" spans="1:9" x14ac:dyDescent="0.35">
      <c r="A172" s="7">
        <v>188</v>
      </c>
      <c r="B172" s="7" t="s">
        <v>243</v>
      </c>
      <c r="C172" s="7" t="s">
        <v>42</v>
      </c>
      <c r="D172" s="7" t="s">
        <v>9</v>
      </c>
      <c r="E172" s="7" t="s">
        <v>9</v>
      </c>
      <c r="F172" s="7" t="s">
        <v>269</v>
      </c>
      <c r="G172" s="8"/>
      <c r="H172" s="7" t="s">
        <v>266</v>
      </c>
      <c r="I172">
        <v>1</v>
      </c>
    </row>
    <row r="173" spans="1:9" x14ac:dyDescent="0.35">
      <c r="A173" s="7">
        <v>189</v>
      </c>
      <c r="B173" s="7" t="s">
        <v>243</v>
      </c>
      <c r="C173" s="7" t="s">
        <v>42</v>
      </c>
      <c r="D173" s="7" t="s">
        <v>9</v>
      </c>
      <c r="E173" s="7" t="s">
        <v>9</v>
      </c>
      <c r="F173" s="7" t="s">
        <v>269</v>
      </c>
      <c r="G173" s="8"/>
      <c r="H173" s="7" t="s">
        <v>266</v>
      </c>
      <c r="I173">
        <v>1</v>
      </c>
    </row>
    <row r="174" spans="1:9" x14ac:dyDescent="0.35">
      <c r="A174" s="7">
        <v>190</v>
      </c>
      <c r="B174" s="7" t="s">
        <v>243</v>
      </c>
      <c r="C174" s="7" t="s">
        <v>42</v>
      </c>
      <c r="D174" s="7" t="s">
        <v>9</v>
      </c>
      <c r="E174" s="7" t="s">
        <v>9</v>
      </c>
      <c r="F174" s="7" t="s">
        <v>269</v>
      </c>
      <c r="G174" s="8"/>
      <c r="H174" s="7" t="s">
        <v>266</v>
      </c>
      <c r="I174">
        <v>1</v>
      </c>
    </row>
    <row r="175" spans="1:9" x14ac:dyDescent="0.35">
      <c r="A175" s="7">
        <v>191</v>
      </c>
      <c r="B175" s="7" t="s">
        <v>243</v>
      </c>
      <c r="C175" s="7" t="s">
        <v>42</v>
      </c>
      <c r="D175" s="7" t="s">
        <v>9</v>
      </c>
      <c r="E175" s="7" t="s">
        <v>9</v>
      </c>
      <c r="F175" s="7" t="s">
        <v>269</v>
      </c>
      <c r="G175" s="8"/>
      <c r="H175" s="7" t="s">
        <v>266</v>
      </c>
      <c r="I175">
        <v>1</v>
      </c>
    </row>
    <row r="176" spans="1:9" x14ac:dyDescent="0.35">
      <c r="A176" s="7">
        <v>192</v>
      </c>
      <c r="B176" s="7" t="s">
        <v>243</v>
      </c>
      <c r="C176" s="7" t="s">
        <v>42</v>
      </c>
      <c r="D176" s="7" t="s">
        <v>9</v>
      </c>
      <c r="E176" s="7" t="s">
        <v>9</v>
      </c>
      <c r="F176" s="7" t="s">
        <v>269</v>
      </c>
      <c r="G176" s="8"/>
      <c r="H176" s="10" t="s">
        <v>24</v>
      </c>
      <c r="I176">
        <v>1</v>
      </c>
    </row>
    <row r="177" spans="1:9" x14ac:dyDescent="0.35">
      <c r="A177" s="7">
        <v>193</v>
      </c>
      <c r="B177" s="7" t="s">
        <v>243</v>
      </c>
      <c r="C177" s="7" t="s">
        <v>42</v>
      </c>
      <c r="D177" s="7" t="s">
        <v>9</v>
      </c>
      <c r="E177" s="7" t="s">
        <v>9</v>
      </c>
      <c r="F177" s="7" t="s">
        <v>269</v>
      </c>
      <c r="G177" s="8"/>
      <c r="H177" s="10" t="s">
        <v>24</v>
      </c>
      <c r="I177">
        <v>1</v>
      </c>
    </row>
    <row r="178" spans="1:9" x14ac:dyDescent="0.35">
      <c r="A178" s="7">
        <v>194</v>
      </c>
      <c r="B178" s="7" t="s">
        <v>243</v>
      </c>
      <c r="C178" s="7" t="s">
        <v>42</v>
      </c>
      <c r="D178" s="7" t="s">
        <v>9</v>
      </c>
      <c r="E178" s="7" t="s">
        <v>9</v>
      </c>
      <c r="F178" s="7" t="s">
        <v>269</v>
      </c>
      <c r="G178" s="8"/>
      <c r="H178" s="10" t="s">
        <v>24</v>
      </c>
      <c r="I178">
        <v>1</v>
      </c>
    </row>
    <row r="179" spans="1:9" x14ac:dyDescent="0.35">
      <c r="A179" s="7">
        <v>195</v>
      </c>
      <c r="B179" s="7" t="s">
        <v>243</v>
      </c>
      <c r="C179" s="7" t="s">
        <v>42</v>
      </c>
      <c r="D179" s="7" t="s">
        <v>9</v>
      </c>
      <c r="E179" s="7" t="s">
        <v>9</v>
      </c>
      <c r="F179" s="7" t="s">
        <v>269</v>
      </c>
      <c r="G179" s="8"/>
      <c r="H179" s="10" t="s">
        <v>24</v>
      </c>
      <c r="I179">
        <v>1</v>
      </c>
    </row>
    <row r="180" spans="1:9" x14ac:dyDescent="0.35">
      <c r="A180" s="7">
        <v>196</v>
      </c>
      <c r="B180" s="7" t="s">
        <v>243</v>
      </c>
      <c r="C180" s="7" t="s">
        <v>42</v>
      </c>
      <c r="D180" s="7" t="s">
        <v>9</v>
      </c>
      <c r="E180" s="7" t="s">
        <v>9</v>
      </c>
      <c r="F180" s="7" t="s">
        <v>269</v>
      </c>
      <c r="G180" s="8"/>
      <c r="H180" s="10" t="s">
        <v>24</v>
      </c>
      <c r="I180">
        <v>1</v>
      </c>
    </row>
    <row r="181" spans="1:9" x14ac:dyDescent="0.35">
      <c r="A181" s="7">
        <v>197</v>
      </c>
      <c r="B181" s="7" t="s">
        <v>243</v>
      </c>
      <c r="C181" s="7" t="s">
        <v>29</v>
      </c>
      <c r="D181" s="7" t="s">
        <v>9</v>
      </c>
      <c r="E181" s="7" t="s">
        <v>9</v>
      </c>
      <c r="F181" s="7" t="s">
        <v>269</v>
      </c>
      <c r="G181" s="8"/>
      <c r="H181" s="7" t="s">
        <v>266</v>
      </c>
      <c r="I181">
        <v>1</v>
      </c>
    </row>
    <row r="182" spans="1:9" x14ac:dyDescent="0.35">
      <c r="A182" s="7">
        <v>198</v>
      </c>
      <c r="B182" s="7" t="s">
        <v>243</v>
      </c>
      <c r="C182" s="7" t="s">
        <v>29</v>
      </c>
      <c r="D182" s="7" t="s">
        <v>9</v>
      </c>
      <c r="E182" s="7" t="s">
        <v>9</v>
      </c>
      <c r="F182" s="7" t="s">
        <v>269</v>
      </c>
      <c r="G182" s="8"/>
      <c r="H182" s="7" t="s">
        <v>266</v>
      </c>
      <c r="I182">
        <v>1</v>
      </c>
    </row>
    <row r="183" spans="1:9" x14ac:dyDescent="0.35">
      <c r="A183" s="7">
        <v>199</v>
      </c>
      <c r="B183" s="7" t="s">
        <v>243</v>
      </c>
      <c r="C183" s="7" t="s">
        <v>29</v>
      </c>
      <c r="D183" s="7" t="s">
        <v>9</v>
      </c>
      <c r="E183" s="7" t="s">
        <v>9</v>
      </c>
      <c r="F183" s="7" t="s">
        <v>269</v>
      </c>
      <c r="G183" s="8"/>
      <c r="H183" s="7" t="s">
        <v>266</v>
      </c>
      <c r="I183">
        <v>1</v>
      </c>
    </row>
    <row r="184" spans="1:9" x14ac:dyDescent="0.35">
      <c r="A184" s="7">
        <v>200</v>
      </c>
      <c r="B184" s="7" t="s">
        <v>243</v>
      </c>
      <c r="C184" s="7" t="s">
        <v>29</v>
      </c>
      <c r="D184" s="7" t="s">
        <v>9</v>
      </c>
      <c r="E184" s="7" t="s">
        <v>9</v>
      </c>
      <c r="F184" s="7" t="s">
        <v>269</v>
      </c>
      <c r="G184" s="8"/>
      <c r="H184" s="7" t="s">
        <v>266</v>
      </c>
      <c r="I184">
        <v>1</v>
      </c>
    </row>
    <row r="185" spans="1:9" x14ac:dyDescent="0.35">
      <c r="A185" s="7">
        <v>201</v>
      </c>
      <c r="B185" s="7" t="s">
        <v>243</v>
      </c>
      <c r="C185" s="7" t="s">
        <v>29</v>
      </c>
      <c r="D185" s="7" t="s">
        <v>9</v>
      </c>
      <c r="E185" s="7" t="s">
        <v>9</v>
      </c>
      <c r="F185" s="7" t="s">
        <v>269</v>
      </c>
      <c r="G185" s="8"/>
      <c r="H185" s="7" t="s">
        <v>266</v>
      </c>
      <c r="I185">
        <v>1</v>
      </c>
    </row>
    <row r="186" spans="1:9" x14ac:dyDescent="0.35">
      <c r="A186" s="7">
        <v>202</v>
      </c>
      <c r="B186" s="7" t="s">
        <v>243</v>
      </c>
      <c r="C186" s="7" t="s">
        <v>29</v>
      </c>
      <c r="D186" s="7" t="s">
        <v>9</v>
      </c>
      <c r="E186" s="7" t="s">
        <v>9</v>
      </c>
      <c r="F186" s="7" t="s">
        <v>269</v>
      </c>
      <c r="G186" s="8"/>
      <c r="H186" s="7" t="s">
        <v>266</v>
      </c>
      <c r="I186">
        <v>1</v>
      </c>
    </row>
    <row r="187" spans="1:9" x14ac:dyDescent="0.35">
      <c r="A187" s="7">
        <v>203</v>
      </c>
      <c r="B187" s="7" t="s">
        <v>243</v>
      </c>
      <c r="C187" s="7" t="s">
        <v>29</v>
      </c>
      <c r="D187" s="7" t="s">
        <v>9</v>
      </c>
      <c r="E187" s="7" t="s">
        <v>9</v>
      </c>
      <c r="F187" s="7" t="s">
        <v>269</v>
      </c>
      <c r="G187" s="8"/>
      <c r="H187" s="7" t="s">
        <v>266</v>
      </c>
      <c r="I187">
        <v>1</v>
      </c>
    </row>
    <row r="188" spans="1:9" x14ac:dyDescent="0.35">
      <c r="A188" s="7">
        <v>204</v>
      </c>
      <c r="B188" s="7" t="s">
        <v>243</v>
      </c>
      <c r="C188" s="7" t="s">
        <v>29</v>
      </c>
      <c r="D188" s="7" t="s">
        <v>9</v>
      </c>
      <c r="E188" s="7" t="s">
        <v>9</v>
      </c>
      <c r="F188" s="7" t="s">
        <v>269</v>
      </c>
      <c r="G188" s="8"/>
      <c r="H188" s="7" t="s">
        <v>266</v>
      </c>
      <c r="I188">
        <v>1</v>
      </c>
    </row>
    <row r="189" spans="1:9" x14ac:dyDescent="0.35">
      <c r="A189" s="7">
        <v>205</v>
      </c>
      <c r="B189" s="7" t="s">
        <v>243</v>
      </c>
      <c r="C189" s="7" t="s">
        <v>29</v>
      </c>
      <c r="D189" s="7" t="s">
        <v>9</v>
      </c>
      <c r="E189" s="7" t="s">
        <v>9</v>
      </c>
      <c r="F189" s="7" t="s">
        <v>269</v>
      </c>
      <c r="G189" s="8"/>
      <c r="H189" s="7" t="s">
        <v>266</v>
      </c>
      <c r="I189">
        <v>1</v>
      </c>
    </row>
    <row r="190" spans="1:9" x14ac:dyDescent="0.35">
      <c r="A190" s="7">
        <v>206</v>
      </c>
      <c r="B190" s="7" t="s">
        <v>243</v>
      </c>
      <c r="C190" s="7" t="s">
        <v>34</v>
      </c>
      <c r="D190" s="7" t="s">
        <v>9</v>
      </c>
      <c r="E190" s="7" t="s">
        <v>9</v>
      </c>
      <c r="F190" s="7" t="s">
        <v>269</v>
      </c>
      <c r="G190" s="8"/>
      <c r="H190" s="7" t="s">
        <v>266</v>
      </c>
      <c r="I190">
        <v>1</v>
      </c>
    </row>
    <row r="191" spans="1:9" x14ac:dyDescent="0.35">
      <c r="A191" s="7">
        <v>207</v>
      </c>
      <c r="B191" s="7" t="s">
        <v>243</v>
      </c>
      <c r="C191" s="7" t="s">
        <v>34</v>
      </c>
      <c r="D191" s="7" t="s">
        <v>9</v>
      </c>
      <c r="E191" s="7" t="s">
        <v>9</v>
      </c>
      <c r="F191" s="7" t="s">
        <v>269</v>
      </c>
      <c r="G191" s="8"/>
      <c r="H191" s="7" t="s">
        <v>266</v>
      </c>
      <c r="I191">
        <v>1</v>
      </c>
    </row>
    <row r="192" spans="1:9" x14ac:dyDescent="0.35">
      <c r="A192" s="7">
        <v>208</v>
      </c>
      <c r="B192" s="7" t="s">
        <v>243</v>
      </c>
      <c r="C192" s="7" t="s">
        <v>34</v>
      </c>
      <c r="D192" s="7" t="s">
        <v>9</v>
      </c>
      <c r="E192" s="7" t="s">
        <v>9</v>
      </c>
      <c r="F192" s="7" t="s">
        <v>269</v>
      </c>
      <c r="G192" s="8"/>
      <c r="H192" s="7" t="s">
        <v>266</v>
      </c>
      <c r="I192">
        <v>1</v>
      </c>
    </row>
    <row r="193" spans="1:9" x14ac:dyDescent="0.35">
      <c r="A193" s="7">
        <v>209</v>
      </c>
      <c r="B193" s="7" t="s">
        <v>243</v>
      </c>
      <c r="C193" s="7" t="s">
        <v>34</v>
      </c>
      <c r="D193" s="7" t="s">
        <v>9</v>
      </c>
      <c r="E193" s="7" t="s">
        <v>9</v>
      </c>
      <c r="F193" s="7" t="s">
        <v>269</v>
      </c>
      <c r="G193" s="8"/>
      <c r="H193" s="7" t="s">
        <v>266</v>
      </c>
      <c r="I193">
        <v>1</v>
      </c>
    </row>
    <row r="194" spans="1:9" x14ac:dyDescent="0.35">
      <c r="A194" s="7">
        <v>210</v>
      </c>
      <c r="B194" s="7" t="s">
        <v>243</v>
      </c>
      <c r="C194" s="7" t="s">
        <v>34</v>
      </c>
      <c r="D194" s="7" t="s">
        <v>9</v>
      </c>
      <c r="E194" s="7" t="s">
        <v>9</v>
      </c>
      <c r="F194" s="7" t="s">
        <v>269</v>
      </c>
      <c r="G194" s="8"/>
      <c r="H194" s="7" t="s">
        <v>266</v>
      </c>
      <c r="I194">
        <v>1</v>
      </c>
    </row>
    <row r="195" spans="1:9" x14ac:dyDescent="0.35">
      <c r="A195" s="7">
        <v>211</v>
      </c>
      <c r="B195" s="7" t="s">
        <v>243</v>
      </c>
      <c r="C195" s="7" t="s">
        <v>34</v>
      </c>
      <c r="D195" s="7" t="s">
        <v>9</v>
      </c>
      <c r="E195" s="7" t="s">
        <v>9</v>
      </c>
      <c r="F195" s="7" t="s">
        <v>269</v>
      </c>
      <c r="G195" s="8"/>
      <c r="H195" s="7" t="s">
        <v>266</v>
      </c>
      <c r="I195">
        <v>1</v>
      </c>
    </row>
    <row r="196" spans="1:9" x14ac:dyDescent="0.35">
      <c r="A196" s="7">
        <v>212</v>
      </c>
      <c r="B196" s="7" t="s">
        <v>243</v>
      </c>
      <c r="C196" s="7" t="s">
        <v>270</v>
      </c>
      <c r="D196" s="7" t="s">
        <v>9</v>
      </c>
      <c r="E196" s="7" t="s">
        <v>9</v>
      </c>
      <c r="F196" s="7" t="s">
        <v>269</v>
      </c>
      <c r="G196" s="8"/>
      <c r="H196" s="7" t="s">
        <v>266</v>
      </c>
      <c r="I196">
        <v>1</v>
      </c>
    </row>
    <row r="197" spans="1:9" x14ac:dyDescent="0.35">
      <c r="A197" s="7">
        <v>213</v>
      </c>
      <c r="B197" s="7" t="s">
        <v>171</v>
      </c>
      <c r="C197" s="7" t="s">
        <v>23</v>
      </c>
      <c r="D197" s="7" t="s">
        <v>9</v>
      </c>
      <c r="E197" s="7" t="s">
        <v>9</v>
      </c>
      <c r="F197" s="7" t="s">
        <v>40</v>
      </c>
      <c r="G197" s="8"/>
      <c r="H197" s="10" t="s">
        <v>25</v>
      </c>
      <c r="I197">
        <v>1</v>
      </c>
    </row>
    <row r="198" spans="1:9" x14ac:dyDescent="0.35">
      <c r="A198" s="7">
        <v>214</v>
      </c>
      <c r="B198" s="7" t="s">
        <v>171</v>
      </c>
      <c r="C198" s="7" t="s">
        <v>23</v>
      </c>
      <c r="D198" s="7" t="s">
        <v>9</v>
      </c>
      <c r="E198" s="7" t="s">
        <v>9</v>
      </c>
      <c r="F198" s="7" t="s">
        <v>40</v>
      </c>
      <c r="G198" s="8"/>
      <c r="H198" s="10" t="s">
        <v>25</v>
      </c>
      <c r="I198">
        <v>1</v>
      </c>
    </row>
    <row r="199" spans="1:9" x14ac:dyDescent="0.35">
      <c r="A199" s="7">
        <v>215</v>
      </c>
      <c r="B199" s="7" t="s">
        <v>171</v>
      </c>
      <c r="C199" s="7" t="s">
        <v>53</v>
      </c>
      <c r="D199" s="7" t="s">
        <v>8</v>
      </c>
      <c r="E199" s="7" t="s">
        <v>60</v>
      </c>
      <c r="F199" s="7" t="s">
        <v>271</v>
      </c>
      <c r="G199" s="7" t="s">
        <v>272</v>
      </c>
      <c r="H199" s="10" t="s">
        <v>25</v>
      </c>
      <c r="I199">
        <v>1</v>
      </c>
    </row>
    <row r="200" spans="1:9" x14ac:dyDescent="0.35">
      <c r="A200" s="7">
        <v>216</v>
      </c>
      <c r="B200" s="7" t="s">
        <v>171</v>
      </c>
      <c r="C200" s="7" t="s">
        <v>37</v>
      </c>
      <c r="D200" s="7" t="s">
        <v>8</v>
      </c>
      <c r="E200" s="7" t="s">
        <v>60</v>
      </c>
      <c r="F200" s="7" t="s">
        <v>271</v>
      </c>
      <c r="G200" s="7" t="s">
        <v>272</v>
      </c>
      <c r="H200" s="10" t="s">
        <v>25</v>
      </c>
      <c r="I200">
        <v>1</v>
      </c>
    </row>
    <row r="201" spans="1:9" x14ac:dyDescent="0.35">
      <c r="A201" s="7">
        <v>217</v>
      </c>
      <c r="B201" s="7" t="s">
        <v>171</v>
      </c>
      <c r="C201" s="7" t="s">
        <v>45</v>
      </c>
      <c r="D201" s="7" t="s">
        <v>8</v>
      </c>
      <c r="E201" s="7" t="s">
        <v>112</v>
      </c>
      <c r="F201" s="7" t="s">
        <v>271</v>
      </c>
      <c r="G201" s="7" t="s">
        <v>272</v>
      </c>
      <c r="H201" s="7" t="s">
        <v>266</v>
      </c>
      <c r="I201">
        <v>1</v>
      </c>
    </row>
    <row r="202" spans="1:9" x14ac:dyDescent="0.35">
      <c r="A202" s="7">
        <v>218</v>
      </c>
      <c r="B202" s="7" t="s">
        <v>171</v>
      </c>
      <c r="C202" s="7" t="s">
        <v>45</v>
      </c>
      <c r="D202" s="7" t="s">
        <v>9</v>
      </c>
      <c r="E202" s="7" t="s">
        <v>9</v>
      </c>
      <c r="F202" s="7" t="s">
        <v>271</v>
      </c>
      <c r="G202" s="8"/>
      <c r="H202" s="10" t="s">
        <v>25</v>
      </c>
      <c r="I202">
        <v>1</v>
      </c>
    </row>
    <row r="203" spans="1:9" x14ac:dyDescent="0.35">
      <c r="A203" s="7">
        <v>219</v>
      </c>
      <c r="B203" s="7" t="s">
        <v>171</v>
      </c>
      <c r="C203" s="7" t="s">
        <v>273</v>
      </c>
      <c r="D203" s="7" t="s">
        <v>8</v>
      </c>
      <c r="E203" s="7" t="s">
        <v>112</v>
      </c>
      <c r="F203" s="7" t="s">
        <v>271</v>
      </c>
      <c r="G203" s="8"/>
      <c r="H203" s="10" t="s">
        <v>25</v>
      </c>
      <c r="I20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71AD-29C0-4168-B6F6-6617C020CFE9}">
  <dimension ref="A1:U243"/>
  <sheetViews>
    <sheetView view="pageBreakPreview" zoomScale="70" zoomScaleNormal="110" zoomScaleSheetLayoutView="70" workbookViewId="0">
      <pane xSplit="1" ySplit="1" topLeftCell="M201" activePane="bottomRight" state="frozen"/>
      <selection pane="topRight" activeCell="B1" sqref="B1"/>
      <selection pane="bottomLeft" activeCell="A2" sqref="A2"/>
      <selection pane="bottomRight" activeCell="U224" sqref="U224"/>
    </sheetView>
  </sheetViews>
  <sheetFormatPr defaultRowHeight="14.5" x14ac:dyDescent="0.35"/>
  <cols>
    <col min="1" max="1" width="5.81640625" style="1" customWidth="1"/>
    <col min="2" max="2" width="7.7265625" customWidth="1"/>
    <col min="3" max="3" width="14.81640625" style="1" customWidth="1"/>
    <col min="4" max="4" width="11.1796875" bestFit="1" customWidth="1"/>
    <col min="5" max="5" width="11.1796875" customWidth="1"/>
    <col min="6" max="6" width="34" bestFit="1" customWidth="1"/>
    <col min="7" max="7" width="27.7265625" customWidth="1"/>
    <col min="8" max="9" width="31.26953125" hidden="1" customWidth="1"/>
    <col min="10" max="10" width="31.26953125" customWidth="1"/>
    <col min="11" max="11" width="19.7265625" style="28" customWidth="1"/>
    <col min="12" max="12" width="17.453125" style="1" bestFit="1" customWidth="1"/>
    <col min="13" max="13" width="17.453125" style="1" customWidth="1"/>
    <col min="14" max="14" width="8" customWidth="1"/>
    <col min="17" max="17" width="11.1796875" bestFit="1" customWidth="1"/>
    <col min="20" max="20" width="13.26953125" bestFit="1" customWidth="1"/>
    <col min="21" max="21" width="12.26953125" bestFit="1" customWidth="1"/>
    <col min="22" max="30" width="9.7265625" bestFit="1" customWidth="1"/>
    <col min="31" max="33" width="8.7265625" bestFit="1" customWidth="1"/>
    <col min="34" max="34" width="7" bestFit="1" customWidth="1"/>
    <col min="35" max="35" width="10.54296875" bestFit="1" customWidth="1"/>
  </cols>
  <sheetData>
    <row r="1" spans="1:17" ht="26.25" customHeight="1" x14ac:dyDescent="0.35">
      <c r="A1" s="26" t="s">
        <v>274</v>
      </c>
      <c r="B1" s="32" t="s">
        <v>275</v>
      </c>
      <c r="C1" s="33" t="s">
        <v>276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277</v>
      </c>
      <c r="I1" s="33" t="s">
        <v>278</v>
      </c>
      <c r="J1" s="33" t="s">
        <v>279</v>
      </c>
      <c r="K1" s="33" t="s">
        <v>6</v>
      </c>
      <c r="L1" s="33" t="s">
        <v>280</v>
      </c>
      <c r="M1" s="33" t="s">
        <v>4</v>
      </c>
      <c r="N1" s="23" t="s">
        <v>265</v>
      </c>
      <c r="O1">
        <v>86401</v>
      </c>
      <c r="Q1" s="33"/>
    </row>
    <row r="2" spans="1:17" ht="17.25" customHeight="1" x14ac:dyDescent="0.35">
      <c r="A2" s="10">
        <v>1</v>
      </c>
      <c r="B2" s="7">
        <v>130</v>
      </c>
      <c r="C2" s="10">
        <v>130</v>
      </c>
      <c r="D2" s="7" t="s">
        <v>38</v>
      </c>
      <c r="E2" s="7" t="s">
        <v>281</v>
      </c>
      <c r="F2" s="7" t="s">
        <v>60</v>
      </c>
      <c r="G2" s="7" t="s">
        <v>13</v>
      </c>
      <c r="H2" s="7"/>
      <c r="I2" s="7"/>
      <c r="J2" s="7">
        <v>500</v>
      </c>
      <c r="K2" s="27">
        <v>46196</v>
      </c>
      <c r="L2" s="10" t="s">
        <v>25</v>
      </c>
      <c r="M2" s="10"/>
      <c r="N2">
        <v>1</v>
      </c>
      <c r="Q2" s="7"/>
    </row>
    <row r="3" spans="1:17" ht="17.25" customHeight="1" x14ac:dyDescent="0.35">
      <c r="A3" s="10">
        <v>2</v>
      </c>
      <c r="B3" s="7">
        <v>191</v>
      </c>
      <c r="C3" s="7">
        <v>164</v>
      </c>
      <c r="D3" s="7" t="s">
        <v>34</v>
      </c>
      <c r="E3" s="7" t="s">
        <v>9</v>
      </c>
      <c r="F3" s="7" t="s">
        <v>9</v>
      </c>
      <c r="G3" s="7" t="s">
        <v>13</v>
      </c>
      <c r="H3" s="7"/>
      <c r="I3" s="7"/>
      <c r="J3" s="7">
        <v>835</v>
      </c>
      <c r="K3" s="27">
        <v>46195</v>
      </c>
      <c r="L3" s="10" t="s">
        <v>14</v>
      </c>
      <c r="M3" s="10"/>
      <c r="N3">
        <v>1</v>
      </c>
      <c r="Q3" s="7"/>
    </row>
    <row r="4" spans="1:17" ht="17.25" customHeight="1" x14ac:dyDescent="0.35">
      <c r="A4" s="10">
        <v>3</v>
      </c>
      <c r="B4" s="7">
        <v>198</v>
      </c>
      <c r="C4" s="10">
        <v>165</v>
      </c>
      <c r="D4" s="7" t="s">
        <v>42</v>
      </c>
      <c r="E4" s="7" t="s">
        <v>9</v>
      </c>
      <c r="F4" s="7" t="s">
        <v>9</v>
      </c>
      <c r="G4" s="7" t="s">
        <v>13</v>
      </c>
      <c r="H4" s="7"/>
      <c r="I4" s="7"/>
      <c r="J4" s="7">
        <v>235</v>
      </c>
      <c r="K4" s="27">
        <v>46195</v>
      </c>
      <c r="L4" s="10" t="s">
        <v>14</v>
      </c>
      <c r="M4" s="10"/>
      <c r="N4">
        <v>1</v>
      </c>
      <c r="Q4" s="7"/>
    </row>
    <row r="5" spans="1:17" ht="17.25" customHeight="1" x14ac:dyDescent="0.35">
      <c r="A5" s="10">
        <v>4</v>
      </c>
      <c r="B5" s="7">
        <v>79</v>
      </c>
      <c r="C5" s="7" t="s">
        <v>282</v>
      </c>
      <c r="D5" s="7" t="s">
        <v>42</v>
      </c>
      <c r="E5" s="7" t="s">
        <v>281</v>
      </c>
      <c r="F5" s="7" t="s">
        <v>283</v>
      </c>
      <c r="G5" s="7" t="s">
        <v>13</v>
      </c>
      <c r="H5" s="7"/>
      <c r="I5" s="7"/>
      <c r="J5" s="7">
        <v>732</v>
      </c>
      <c r="K5" s="27">
        <v>46195</v>
      </c>
      <c r="L5" s="7" t="s">
        <v>24</v>
      </c>
      <c r="M5" s="7" t="s">
        <v>284</v>
      </c>
      <c r="N5">
        <v>1</v>
      </c>
      <c r="Q5" s="7"/>
    </row>
    <row r="6" spans="1:17" ht="17.25" customHeight="1" x14ac:dyDescent="0.35">
      <c r="A6" s="10">
        <v>5</v>
      </c>
      <c r="B6" s="7">
        <v>180</v>
      </c>
      <c r="C6" s="7" t="s">
        <v>282</v>
      </c>
      <c r="D6" s="7" t="s">
        <v>42</v>
      </c>
      <c r="E6" s="7" t="s">
        <v>281</v>
      </c>
      <c r="F6" s="7" t="s">
        <v>285</v>
      </c>
      <c r="G6" s="7" t="s">
        <v>13</v>
      </c>
      <c r="H6" s="7"/>
      <c r="I6" s="7"/>
      <c r="J6" s="7">
        <v>647</v>
      </c>
      <c r="K6" s="27">
        <v>46195</v>
      </c>
      <c r="L6" s="7" t="s">
        <v>24</v>
      </c>
      <c r="M6" s="7" t="s">
        <v>284</v>
      </c>
      <c r="N6">
        <v>1</v>
      </c>
      <c r="Q6" s="7"/>
    </row>
    <row r="7" spans="1:17" ht="17.25" customHeight="1" x14ac:dyDescent="0.35">
      <c r="A7" s="10">
        <v>6</v>
      </c>
      <c r="B7" s="7">
        <v>13</v>
      </c>
      <c r="C7" s="7" t="s">
        <v>286</v>
      </c>
      <c r="D7" s="7" t="s">
        <v>21</v>
      </c>
      <c r="E7" s="7" t="s">
        <v>9</v>
      </c>
      <c r="F7" s="7" t="s">
        <v>9</v>
      </c>
      <c r="G7" s="7" t="s">
        <v>13</v>
      </c>
      <c r="H7" s="7">
        <f>J7+I7</f>
        <v>1067</v>
      </c>
      <c r="I7" s="7">
        <v>125</v>
      </c>
      <c r="J7" s="7">
        <v>942</v>
      </c>
      <c r="K7" s="7"/>
      <c r="L7" s="7" t="s">
        <v>14</v>
      </c>
      <c r="M7" s="7"/>
      <c r="N7">
        <v>1</v>
      </c>
      <c r="Q7" s="7"/>
    </row>
    <row r="8" spans="1:17" ht="17.25" customHeight="1" x14ac:dyDescent="0.35">
      <c r="A8" s="10">
        <v>7</v>
      </c>
      <c r="B8" s="7">
        <v>81</v>
      </c>
      <c r="C8" s="7" t="s">
        <v>287</v>
      </c>
      <c r="D8" s="7" t="s">
        <v>29</v>
      </c>
      <c r="E8" s="7" t="s">
        <v>281</v>
      </c>
      <c r="F8" s="7" t="s">
        <v>193</v>
      </c>
      <c r="G8" s="7" t="s">
        <v>13</v>
      </c>
      <c r="H8" s="7"/>
      <c r="I8" s="7"/>
      <c r="J8" s="7">
        <v>285</v>
      </c>
      <c r="K8" s="7"/>
      <c r="L8" s="7" t="s">
        <v>14</v>
      </c>
      <c r="M8" s="7"/>
      <c r="N8">
        <v>1</v>
      </c>
      <c r="Q8" s="7"/>
    </row>
    <row r="9" spans="1:17" ht="17.25" customHeight="1" x14ac:dyDescent="0.35">
      <c r="A9" s="10">
        <v>8</v>
      </c>
      <c r="B9" s="7">
        <v>10</v>
      </c>
      <c r="C9" s="7" t="s">
        <v>288</v>
      </c>
      <c r="D9" s="7" t="s">
        <v>289</v>
      </c>
      <c r="E9" s="7" t="s">
        <v>9</v>
      </c>
      <c r="F9" s="7" t="s">
        <v>9</v>
      </c>
      <c r="G9" s="7" t="s">
        <v>13</v>
      </c>
      <c r="H9" s="7"/>
      <c r="I9" s="7"/>
      <c r="J9" s="7">
        <v>848</v>
      </c>
      <c r="K9" s="7"/>
      <c r="L9" s="7" t="s">
        <v>14</v>
      </c>
      <c r="M9" s="7"/>
      <c r="N9">
        <v>1</v>
      </c>
      <c r="Q9" s="7"/>
    </row>
    <row r="10" spans="1:17" ht="17.25" customHeight="1" x14ac:dyDescent="0.35">
      <c r="A10" s="10">
        <v>9</v>
      </c>
      <c r="B10" s="7">
        <v>8</v>
      </c>
      <c r="C10" s="7" t="s">
        <v>22</v>
      </c>
      <c r="D10" s="7" t="s">
        <v>289</v>
      </c>
      <c r="E10" s="7" t="s">
        <v>9</v>
      </c>
      <c r="F10" s="7" t="s">
        <v>9</v>
      </c>
      <c r="G10" s="7" t="s">
        <v>13</v>
      </c>
      <c r="H10" s="7"/>
      <c r="I10" s="7"/>
      <c r="J10" s="7">
        <v>1132</v>
      </c>
      <c r="K10" s="7"/>
      <c r="L10" s="7" t="s">
        <v>14</v>
      </c>
      <c r="M10" s="7"/>
      <c r="N10">
        <v>1</v>
      </c>
      <c r="Q10" s="7"/>
    </row>
    <row r="11" spans="1:17" ht="17.25" customHeight="1" x14ac:dyDescent="0.35">
      <c r="A11" s="10">
        <v>10</v>
      </c>
      <c r="B11" s="7">
        <v>6</v>
      </c>
      <c r="C11" s="7" t="s">
        <v>290</v>
      </c>
      <c r="D11" s="7" t="s">
        <v>12</v>
      </c>
      <c r="E11" s="7" t="s">
        <v>9</v>
      </c>
      <c r="F11" s="7" t="s">
        <v>9</v>
      </c>
      <c r="G11" s="7" t="s">
        <v>13</v>
      </c>
      <c r="H11" s="7"/>
      <c r="I11" s="7"/>
      <c r="J11" s="7">
        <v>666</v>
      </c>
      <c r="K11" s="7"/>
      <c r="L11" s="7" t="s">
        <v>14</v>
      </c>
      <c r="M11" s="7"/>
      <c r="N11">
        <v>1</v>
      </c>
      <c r="Q11" s="7"/>
    </row>
    <row r="12" spans="1:17" ht="17.25" customHeight="1" x14ac:dyDescent="0.35">
      <c r="A12" s="10">
        <v>11</v>
      </c>
      <c r="B12" s="7">
        <v>4</v>
      </c>
      <c r="C12" s="7" t="s">
        <v>44</v>
      </c>
      <c r="D12" s="7" t="s">
        <v>12</v>
      </c>
      <c r="E12" s="7" t="s">
        <v>9</v>
      </c>
      <c r="F12" s="7" t="s">
        <v>9</v>
      </c>
      <c r="G12" s="7" t="s">
        <v>13</v>
      </c>
      <c r="H12" s="7"/>
      <c r="I12" s="7"/>
      <c r="J12" s="7">
        <v>943</v>
      </c>
      <c r="K12" s="27"/>
      <c r="L12" s="7" t="s">
        <v>14</v>
      </c>
      <c r="M12" s="7"/>
      <c r="N12">
        <v>1</v>
      </c>
      <c r="Q12" s="7"/>
    </row>
    <row r="13" spans="1:17" ht="17.25" customHeight="1" x14ac:dyDescent="0.35">
      <c r="A13" s="10">
        <v>12</v>
      </c>
      <c r="B13" s="7">
        <v>82</v>
      </c>
      <c r="C13" s="7" t="s">
        <v>192</v>
      </c>
      <c r="D13" s="7" t="s">
        <v>42</v>
      </c>
      <c r="E13" s="7" t="s">
        <v>281</v>
      </c>
      <c r="F13" s="7" t="s">
        <v>285</v>
      </c>
      <c r="G13" s="7" t="s">
        <v>13</v>
      </c>
      <c r="H13" s="7"/>
      <c r="I13" s="7"/>
      <c r="J13" s="7">
        <v>460</v>
      </c>
      <c r="K13" s="27">
        <v>46198</v>
      </c>
      <c r="L13" s="10" t="s">
        <v>24</v>
      </c>
      <c r="M13" s="10" t="s">
        <v>284</v>
      </c>
      <c r="N13">
        <v>1</v>
      </c>
      <c r="Q13" s="7"/>
    </row>
    <row r="14" spans="1:17" ht="17.25" customHeight="1" x14ac:dyDescent="0.35">
      <c r="A14" s="10">
        <v>13</v>
      </c>
      <c r="B14" s="7">
        <v>87</v>
      </c>
      <c r="C14" s="7" t="s">
        <v>189</v>
      </c>
      <c r="D14" s="7" t="s">
        <v>29</v>
      </c>
      <c r="E14" s="7" t="s">
        <v>281</v>
      </c>
      <c r="F14" s="7" t="s">
        <v>112</v>
      </c>
      <c r="G14" s="7" t="s">
        <v>13</v>
      </c>
      <c r="H14" s="7"/>
      <c r="I14" s="7"/>
      <c r="J14" s="7">
        <v>366</v>
      </c>
      <c r="K14" s="27"/>
      <c r="L14" s="7" t="s">
        <v>14</v>
      </c>
      <c r="M14" s="7"/>
      <c r="N14">
        <v>1</v>
      </c>
      <c r="Q14" s="7"/>
    </row>
    <row r="15" spans="1:17" ht="17.25" customHeight="1" x14ac:dyDescent="0.35">
      <c r="A15" s="10">
        <v>14</v>
      </c>
      <c r="B15" s="7">
        <v>71</v>
      </c>
      <c r="C15" s="7" t="s">
        <v>187</v>
      </c>
      <c r="D15" s="7" t="s">
        <v>53</v>
      </c>
      <c r="E15" s="7" t="s">
        <v>281</v>
      </c>
      <c r="F15" s="7" t="s">
        <v>213</v>
      </c>
      <c r="G15" s="7" t="s">
        <v>13</v>
      </c>
      <c r="H15" s="7"/>
      <c r="I15" s="7"/>
      <c r="J15" s="7">
        <v>288</v>
      </c>
      <c r="K15" s="7"/>
      <c r="L15" s="7" t="s">
        <v>25</v>
      </c>
      <c r="M15" s="7"/>
      <c r="N15">
        <v>1</v>
      </c>
      <c r="Q15" s="7"/>
    </row>
    <row r="16" spans="1:17" ht="17.25" customHeight="1" x14ac:dyDescent="0.35">
      <c r="A16" s="10">
        <v>15</v>
      </c>
      <c r="B16" s="7">
        <v>61</v>
      </c>
      <c r="C16" s="7" t="s">
        <v>188</v>
      </c>
      <c r="D16" s="7" t="s">
        <v>45</v>
      </c>
      <c r="E16" s="7" t="s">
        <v>281</v>
      </c>
      <c r="F16" s="7" t="s">
        <v>108</v>
      </c>
      <c r="G16" s="7" t="s">
        <v>13</v>
      </c>
      <c r="H16" s="7"/>
      <c r="I16" s="7"/>
      <c r="J16" s="7">
        <v>347</v>
      </c>
      <c r="K16" s="7"/>
      <c r="L16" s="7" t="s">
        <v>14</v>
      </c>
      <c r="M16" s="7"/>
      <c r="N16">
        <v>1</v>
      </c>
      <c r="Q16" s="7"/>
    </row>
    <row r="17" spans="1:17" ht="17.25" customHeight="1" x14ac:dyDescent="0.35">
      <c r="A17" s="10">
        <v>16</v>
      </c>
      <c r="B17" s="7">
        <v>154</v>
      </c>
      <c r="C17" s="7" t="s">
        <v>291</v>
      </c>
      <c r="D17" s="7" t="s">
        <v>29</v>
      </c>
      <c r="E17" s="7" t="s">
        <v>9</v>
      </c>
      <c r="F17" s="7" t="s">
        <v>193</v>
      </c>
      <c r="G17" s="7" t="s">
        <v>13</v>
      </c>
      <c r="H17" s="7"/>
      <c r="I17" s="7"/>
      <c r="J17" s="7">
        <v>773</v>
      </c>
      <c r="K17" s="7"/>
      <c r="L17" s="10" t="s">
        <v>14</v>
      </c>
      <c r="M17" s="10"/>
      <c r="N17">
        <v>1</v>
      </c>
      <c r="Q17" s="7"/>
    </row>
    <row r="18" spans="1:17" ht="17.25" customHeight="1" x14ac:dyDescent="0.35">
      <c r="A18" s="10">
        <v>17</v>
      </c>
      <c r="B18" s="7">
        <v>275</v>
      </c>
      <c r="C18" s="7" t="s">
        <v>185</v>
      </c>
      <c r="D18" s="7" t="s">
        <v>292</v>
      </c>
      <c r="E18" s="7" t="s">
        <v>281</v>
      </c>
      <c r="F18" s="7" t="s">
        <v>213</v>
      </c>
      <c r="G18" s="7" t="s">
        <v>13</v>
      </c>
      <c r="H18" s="7"/>
      <c r="I18" s="7"/>
      <c r="J18" s="7">
        <v>574</v>
      </c>
      <c r="K18" s="7"/>
      <c r="L18" s="7" t="s">
        <v>14</v>
      </c>
      <c r="M18" s="7"/>
      <c r="N18">
        <v>1</v>
      </c>
      <c r="Q18" s="7"/>
    </row>
    <row r="19" spans="1:17" ht="17.25" customHeight="1" x14ac:dyDescent="0.35">
      <c r="A19" s="10">
        <v>18</v>
      </c>
      <c r="B19" s="7">
        <v>274</v>
      </c>
      <c r="C19" s="7" t="s">
        <v>184</v>
      </c>
      <c r="D19" s="7" t="s">
        <v>53</v>
      </c>
      <c r="E19" s="7" t="s">
        <v>281</v>
      </c>
      <c r="F19" s="7" t="s">
        <v>112</v>
      </c>
      <c r="G19" s="7" t="s">
        <v>13</v>
      </c>
      <c r="H19" s="7"/>
      <c r="I19" s="7"/>
      <c r="J19" s="7">
        <v>783</v>
      </c>
      <c r="K19" s="7"/>
      <c r="L19" s="7" t="s">
        <v>14</v>
      </c>
      <c r="M19" s="7"/>
      <c r="N19">
        <v>1</v>
      </c>
      <c r="Q19" s="7"/>
    </row>
    <row r="20" spans="1:17" ht="17.25" customHeight="1" x14ac:dyDescent="0.35">
      <c r="A20" s="10">
        <v>19</v>
      </c>
      <c r="B20" s="7">
        <v>82</v>
      </c>
      <c r="C20" s="7" t="s">
        <v>293</v>
      </c>
      <c r="D20" s="7" t="s">
        <v>34</v>
      </c>
      <c r="E20" s="7" t="s">
        <v>281</v>
      </c>
      <c r="F20" s="7" t="s">
        <v>213</v>
      </c>
      <c r="G20" s="7" t="s">
        <v>13</v>
      </c>
      <c r="H20" s="7"/>
      <c r="I20" s="7"/>
      <c r="J20" s="7">
        <v>277</v>
      </c>
      <c r="K20" s="7"/>
      <c r="L20" s="7" t="s">
        <v>25</v>
      </c>
      <c r="M20" s="7"/>
      <c r="N20">
        <v>1</v>
      </c>
      <c r="Q20" s="7"/>
    </row>
    <row r="21" spans="1:17" ht="17.25" customHeight="1" x14ac:dyDescent="0.35">
      <c r="A21" s="10">
        <v>20</v>
      </c>
      <c r="B21" s="7">
        <v>26</v>
      </c>
      <c r="C21" s="7" t="s">
        <v>294</v>
      </c>
      <c r="D21" s="7" t="s">
        <v>21</v>
      </c>
      <c r="E21" s="7" t="s">
        <v>9</v>
      </c>
      <c r="F21" s="7" t="s">
        <v>9</v>
      </c>
      <c r="G21" s="7" t="s">
        <v>13</v>
      </c>
      <c r="H21" s="7">
        <f>J21+I21</f>
        <v>1095</v>
      </c>
      <c r="I21" s="7">
        <v>125</v>
      </c>
      <c r="J21" s="7">
        <v>970</v>
      </c>
      <c r="K21" s="7"/>
      <c r="L21" s="7" t="s">
        <v>14</v>
      </c>
      <c r="M21" s="7"/>
      <c r="N21">
        <v>1</v>
      </c>
      <c r="Q21" s="7"/>
    </row>
    <row r="22" spans="1:17" ht="17.25" customHeight="1" x14ac:dyDescent="0.35">
      <c r="A22" s="10">
        <v>21</v>
      </c>
      <c r="B22" s="7">
        <v>272</v>
      </c>
      <c r="C22" s="7" t="s">
        <v>183</v>
      </c>
      <c r="D22" s="7" t="s">
        <v>53</v>
      </c>
      <c r="E22" s="7" t="s">
        <v>281</v>
      </c>
      <c r="F22" s="7" t="s">
        <v>213</v>
      </c>
      <c r="G22" s="7" t="s">
        <v>13</v>
      </c>
      <c r="H22" s="7"/>
      <c r="I22" s="7"/>
      <c r="J22" s="7">
        <v>343</v>
      </c>
      <c r="K22" s="7"/>
      <c r="L22" s="7" t="s">
        <v>25</v>
      </c>
      <c r="M22" s="7"/>
      <c r="N22">
        <v>1</v>
      </c>
      <c r="Q22" s="7"/>
    </row>
    <row r="23" spans="1:17" ht="17.25" customHeight="1" x14ac:dyDescent="0.35">
      <c r="A23" s="10">
        <v>22</v>
      </c>
      <c r="B23" s="7">
        <v>271</v>
      </c>
      <c r="C23" s="7" t="s">
        <v>181</v>
      </c>
      <c r="D23" s="7" t="s">
        <v>295</v>
      </c>
      <c r="E23" s="7" t="s">
        <v>281</v>
      </c>
      <c r="F23" s="7" t="s">
        <v>112</v>
      </c>
      <c r="G23" s="7" t="s">
        <v>13</v>
      </c>
      <c r="H23" s="7"/>
      <c r="I23" s="7"/>
      <c r="J23" s="7">
        <v>562</v>
      </c>
      <c r="K23" s="27">
        <v>46210</v>
      </c>
      <c r="L23" s="7" t="s">
        <v>14</v>
      </c>
      <c r="M23" s="7"/>
      <c r="N23">
        <v>1</v>
      </c>
      <c r="Q23" s="7"/>
    </row>
    <row r="24" spans="1:17" ht="17.25" customHeight="1" x14ac:dyDescent="0.35">
      <c r="A24" s="10">
        <v>23</v>
      </c>
      <c r="B24" s="7">
        <v>18</v>
      </c>
      <c r="C24" s="7" t="s">
        <v>180</v>
      </c>
      <c r="D24" s="7" t="s">
        <v>21</v>
      </c>
      <c r="E24" s="7" t="s">
        <v>281</v>
      </c>
      <c r="F24" s="7" t="s">
        <v>296</v>
      </c>
      <c r="G24" s="7" t="s">
        <v>13</v>
      </c>
      <c r="H24" s="7"/>
      <c r="I24" s="7"/>
      <c r="J24" s="7">
        <v>274</v>
      </c>
      <c r="K24" s="7"/>
      <c r="L24" s="10" t="s">
        <v>14</v>
      </c>
      <c r="M24" s="10"/>
      <c r="N24">
        <v>1</v>
      </c>
      <c r="Q24" s="7"/>
    </row>
    <row r="25" spans="1:17" ht="17.25" customHeight="1" x14ac:dyDescent="0.35">
      <c r="A25" s="10">
        <v>24</v>
      </c>
      <c r="B25" s="7">
        <v>14</v>
      </c>
      <c r="C25" s="7" t="s">
        <v>179</v>
      </c>
      <c r="D25" s="7" t="s">
        <v>21</v>
      </c>
      <c r="E25" s="7" t="s">
        <v>9</v>
      </c>
      <c r="F25" s="7" t="s">
        <v>9</v>
      </c>
      <c r="G25" s="7" t="s">
        <v>13</v>
      </c>
      <c r="H25" s="7"/>
      <c r="I25" s="7"/>
      <c r="J25" s="7">
        <v>583</v>
      </c>
      <c r="K25" s="7" t="s">
        <v>297</v>
      </c>
      <c r="L25" s="10" t="s">
        <v>14</v>
      </c>
      <c r="M25" s="10"/>
      <c r="N25">
        <v>1</v>
      </c>
      <c r="Q25" s="7"/>
    </row>
    <row r="26" spans="1:17" ht="17.25" customHeight="1" x14ac:dyDescent="0.35">
      <c r="A26" s="10">
        <v>25</v>
      </c>
      <c r="B26" s="7">
        <v>270</v>
      </c>
      <c r="C26" s="7" t="s">
        <v>179</v>
      </c>
      <c r="D26" s="7" t="s">
        <v>73</v>
      </c>
      <c r="E26" s="7" t="s">
        <v>281</v>
      </c>
      <c r="F26" s="7" t="s">
        <v>112</v>
      </c>
      <c r="G26" s="7" t="s">
        <v>13</v>
      </c>
      <c r="H26" s="7"/>
      <c r="I26" s="7"/>
      <c r="J26" s="7">
        <v>353</v>
      </c>
      <c r="K26" s="27">
        <v>46206</v>
      </c>
      <c r="L26" s="7" t="s">
        <v>14</v>
      </c>
      <c r="M26" s="7"/>
      <c r="N26">
        <v>1</v>
      </c>
      <c r="Q26" s="7"/>
    </row>
    <row r="27" spans="1:17" ht="17.25" customHeight="1" x14ac:dyDescent="0.35">
      <c r="A27" s="10">
        <v>26</v>
      </c>
      <c r="B27" s="7">
        <v>9</v>
      </c>
      <c r="C27" s="7" t="s">
        <v>176</v>
      </c>
      <c r="D27" s="7" t="s">
        <v>29</v>
      </c>
      <c r="E27" s="7" t="s">
        <v>9</v>
      </c>
      <c r="F27" s="7" t="s">
        <v>9</v>
      </c>
      <c r="G27" s="7" t="s">
        <v>13</v>
      </c>
      <c r="H27" s="7"/>
      <c r="I27" s="7"/>
      <c r="J27" s="7">
        <v>498</v>
      </c>
      <c r="K27" s="7"/>
      <c r="L27" s="10" t="s">
        <v>14</v>
      </c>
      <c r="M27" s="10"/>
      <c r="N27">
        <v>1</v>
      </c>
      <c r="Q27" s="7"/>
    </row>
    <row r="28" spans="1:17" ht="17.25" customHeight="1" x14ac:dyDescent="0.35">
      <c r="A28" s="10">
        <v>27</v>
      </c>
      <c r="B28" s="7">
        <v>40</v>
      </c>
      <c r="C28" s="7" t="s">
        <v>174</v>
      </c>
      <c r="D28" s="7" t="s">
        <v>29</v>
      </c>
      <c r="E28" s="7" t="s">
        <v>281</v>
      </c>
      <c r="F28" s="7" t="s">
        <v>112</v>
      </c>
      <c r="G28" s="7" t="s">
        <v>13</v>
      </c>
      <c r="H28" s="7"/>
      <c r="I28" s="7"/>
      <c r="J28" s="7">
        <v>758</v>
      </c>
      <c r="K28" s="7"/>
      <c r="L28" s="10" t="s">
        <v>14</v>
      </c>
      <c r="M28" s="10"/>
      <c r="Q28" s="7"/>
    </row>
    <row r="29" spans="1:17" ht="17.25" customHeight="1" x14ac:dyDescent="0.35">
      <c r="A29" s="10">
        <v>28</v>
      </c>
      <c r="B29" s="7">
        <v>11</v>
      </c>
      <c r="C29" s="7" t="s">
        <v>298</v>
      </c>
      <c r="D29" s="7" t="s">
        <v>21</v>
      </c>
      <c r="E29" s="7" t="s">
        <v>9</v>
      </c>
      <c r="F29" s="7" t="s">
        <v>9</v>
      </c>
      <c r="G29" s="7" t="s">
        <v>13</v>
      </c>
      <c r="H29" s="7"/>
      <c r="I29" s="7"/>
      <c r="J29" s="7">
        <v>257</v>
      </c>
      <c r="K29" s="27">
        <v>46200</v>
      </c>
      <c r="L29" s="10" t="s">
        <v>14</v>
      </c>
      <c r="M29" s="10"/>
      <c r="N29">
        <v>1</v>
      </c>
      <c r="Q29" s="7"/>
    </row>
    <row r="30" spans="1:17" ht="17.25" customHeight="1" x14ac:dyDescent="0.35">
      <c r="A30" s="10">
        <v>29</v>
      </c>
      <c r="B30" s="7">
        <v>114</v>
      </c>
      <c r="C30" s="7" t="s">
        <v>174</v>
      </c>
      <c r="D30" s="7" t="s">
        <v>48</v>
      </c>
      <c r="E30" s="7" t="s">
        <v>281</v>
      </c>
      <c r="F30" s="7" t="s">
        <v>170</v>
      </c>
      <c r="G30" s="22" t="s">
        <v>13</v>
      </c>
      <c r="H30" s="7"/>
      <c r="I30" s="7"/>
      <c r="J30" s="7">
        <v>500</v>
      </c>
      <c r="K30" s="27">
        <v>46196</v>
      </c>
      <c r="L30" s="7" t="s">
        <v>266</v>
      </c>
      <c r="M30" s="7"/>
      <c r="N30">
        <v>1</v>
      </c>
      <c r="Q30" s="7"/>
    </row>
    <row r="31" spans="1:17" ht="17.25" customHeight="1" x14ac:dyDescent="0.35">
      <c r="A31" s="10">
        <v>30</v>
      </c>
      <c r="B31" s="7">
        <v>161</v>
      </c>
      <c r="C31" s="7" t="s">
        <v>175</v>
      </c>
      <c r="D31" s="7" t="s">
        <v>21</v>
      </c>
      <c r="E31" s="7" t="s">
        <v>281</v>
      </c>
      <c r="F31" s="7" t="s">
        <v>60</v>
      </c>
      <c r="G31" s="7" t="s">
        <v>13</v>
      </c>
      <c r="H31" s="7"/>
      <c r="I31" s="7"/>
      <c r="J31" s="7">
        <v>810</v>
      </c>
      <c r="K31" s="7"/>
      <c r="L31" s="10" t="s">
        <v>14</v>
      </c>
      <c r="M31" s="10"/>
      <c r="N31">
        <v>1</v>
      </c>
      <c r="Q31" s="7"/>
    </row>
    <row r="32" spans="1:17" ht="17.25" customHeight="1" x14ac:dyDescent="0.35">
      <c r="A32" s="10">
        <v>31</v>
      </c>
      <c r="B32" s="7">
        <v>69</v>
      </c>
      <c r="C32" s="7" t="s">
        <v>173</v>
      </c>
      <c r="D32" s="7" t="s">
        <v>21</v>
      </c>
      <c r="E32" s="7" t="s">
        <v>281</v>
      </c>
      <c r="F32" s="7" t="s">
        <v>60</v>
      </c>
      <c r="G32" s="7" t="s">
        <v>13</v>
      </c>
      <c r="H32" s="7"/>
      <c r="I32" s="7"/>
      <c r="J32" s="7">
        <v>291</v>
      </c>
      <c r="K32" s="27">
        <v>46206</v>
      </c>
      <c r="L32" s="10" t="s">
        <v>14</v>
      </c>
      <c r="M32" s="10"/>
      <c r="N32">
        <v>1</v>
      </c>
      <c r="Q32" s="7"/>
    </row>
    <row r="33" spans="1:17" ht="17.25" customHeight="1" x14ac:dyDescent="0.35">
      <c r="A33" s="10">
        <v>32</v>
      </c>
      <c r="B33" s="7">
        <v>280</v>
      </c>
      <c r="C33" s="7" t="s">
        <v>169</v>
      </c>
      <c r="D33" s="7" t="s">
        <v>54</v>
      </c>
      <c r="E33" s="7" t="s">
        <v>281</v>
      </c>
      <c r="F33" s="7" t="s">
        <v>112</v>
      </c>
      <c r="G33" s="7" t="s">
        <v>13</v>
      </c>
      <c r="H33" s="7"/>
      <c r="I33" s="7"/>
      <c r="J33" s="7">
        <v>350</v>
      </c>
      <c r="K33" s="7"/>
      <c r="L33" s="7" t="s">
        <v>14</v>
      </c>
      <c r="M33" s="7"/>
      <c r="N33">
        <v>1</v>
      </c>
      <c r="Q33" s="7"/>
    </row>
    <row r="34" spans="1:17" ht="17.25" customHeight="1" x14ac:dyDescent="0.35">
      <c r="A34" s="10">
        <v>33</v>
      </c>
      <c r="B34" s="7">
        <v>24</v>
      </c>
      <c r="C34" s="7" t="s">
        <v>299</v>
      </c>
      <c r="D34" s="7" t="s">
        <v>21</v>
      </c>
      <c r="E34" s="7" t="s">
        <v>9</v>
      </c>
      <c r="F34" s="7" t="s">
        <v>9</v>
      </c>
      <c r="G34" s="7" t="s">
        <v>13</v>
      </c>
      <c r="H34" s="7">
        <f>J34+I34</f>
        <v>517</v>
      </c>
      <c r="I34" s="7">
        <v>103</v>
      </c>
      <c r="J34" s="7">
        <v>414</v>
      </c>
      <c r="K34" s="7"/>
      <c r="L34" s="7" t="s">
        <v>14</v>
      </c>
      <c r="M34" s="7"/>
      <c r="N34">
        <v>1</v>
      </c>
      <c r="Q34" s="7"/>
    </row>
    <row r="35" spans="1:17" ht="17.25" customHeight="1" x14ac:dyDescent="0.35">
      <c r="A35" s="10">
        <v>34</v>
      </c>
      <c r="B35" s="7">
        <v>49</v>
      </c>
      <c r="C35" s="7" t="s">
        <v>300</v>
      </c>
      <c r="D35" s="7" t="s">
        <v>45</v>
      </c>
      <c r="E35" s="7" t="s">
        <v>281</v>
      </c>
      <c r="F35" s="7" t="s">
        <v>213</v>
      </c>
      <c r="G35" s="7" t="s">
        <v>13</v>
      </c>
      <c r="H35" s="7"/>
      <c r="I35" s="7"/>
      <c r="J35" s="7">
        <v>320</v>
      </c>
      <c r="K35" s="7"/>
      <c r="L35" s="7" t="s">
        <v>25</v>
      </c>
      <c r="M35" s="7"/>
      <c r="N35">
        <v>1</v>
      </c>
      <c r="Q35" s="7"/>
    </row>
    <row r="36" spans="1:17" ht="17.25" customHeight="1" x14ac:dyDescent="0.35">
      <c r="A36" s="10">
        <v>35</v>
      </c>
      <c r="B36" s="7">
        <v>279</v>
      </c>
      <c r="C36" s="7" t="s">
        <v>165</v>
      </c>
      <c r="D36" s="7" t="s">
        <v>37</v>
      </c>
      <c r="E36" s="7" t="s">
        <v>281</v>
      </c>
      <c r="F36" s="7" t="s">
        <v>60</v>
      </c>
      <c r="G36" s="7" t="s">
        <v>13</v>
      </c>
      <c r="H36" s="7"/>
      <c r="I36" s="7"/>
      <c r="J36" s="7">
        <v>298</v>
      </c>
      <c r="K36" s="7"/>
      <c r="L36" s="7" t="s">
        <v>14</v>
      </c>
      <c r="M36" s="7"/>
      <c r="N36">
        <v>1</v>
      </c>
      <c r="Q36" s="7"/>
    </row>
    <row r="37" spans="1:17" ht="17.25" customHeight="1" x14ac:dyDescent="0.35">
      <c r="A37" s="10">
        <v>36</v>
      </c>
      <c r="B37" s="7">
        <v>278</v>
      </c>
      <c r="C37" s="7" t="s">
        <v>301</v>
      </c>
      <c r="D37" s="7" t="s">
        <v>29</v>
      </c>
      <c r="E37" s="7" t="s">
        <v>281</v>
      </c>
      <c r="F37" s="7" t="s">
        <v>60</v>
      </c>
      <c r="G37" s="7" t="s">
        <v>13</v>
      </c>
      <c r="H37" s="7"/>
      <c r="I37" s="7"/>
      <c r="J37" s="7">
        <v>434</v>
      </c>
      <c r="K37" s="7"/>
      <c r="L37" s="7" t="s">
        <v>14</v>
      </c>
      <c r="M37" s="7"/>
      <c r="N37">
        <v>1</v>
      </c>
      <c r="Q37" s="7"/>
    </row>
    <row r="38" spans="1:17" ht="17.25" customHeight="1" x14ac:dyDescent="0.35">
      <c r="A38" s="10">
        <v>37</v>
      </c>
      <c r="B38" s="7">
        <v>277</v>
      </c>
      <c r="C38" s="7" t="s">
        <v>166</v>
      </c>
      <c r="D38" s="7" t="s">
        <v>37</v>
      </c>
      <c r="E38" s="7" t="s">
        <v>281</v>
      </c>
      <c r="F38" s="7" t="s">
        <v>60</v>
      </c>
      <c r="G38" s="7" t="s">
        <v>13</v>
      </c>
      <c r="H38" s="7"/>
      <c r="I38" s="7"/>
      <c r="J38" s="7">
        <v>235</v>
      </c>
      <c r="K38" s="7"/>
      <c r="L38" s="7" t="s">
        <v>14</v>
      </c>
      <c r="M38" s="7"/>
      <c r="N38">
        <v>1</v>
      </c>
      <c r="Q38" s="7"/>
    </row>
    <row r="39" spans="1:17" ht="17.25" customHeight="1" x14ac:dyDescent="0.35">
      <c r="A39" s="10">
        <v>38</v>
      </c>
      <c r="B39" s="7">
        <v>201</v>
      </c>
      <c r="C39" s="7" t="s">
        <v>147</v>
      </c>
      <c r="D39" s="7" t="s">
        <v>45</v>
      </c>
      <c r="E39" s="7" t="s">
        <v>9</v>
      </c>
      <c r="F39" s="7" t="s">
        <v>9</v>
      </c>
      <c r="G39" s="7" t="s">
        <v>13</v>
      </c>
      <c r="H39" s="7"/>
      <c r="I39" s="7"/>
      <c r="J39" s="7">
        <v>574</v>
      </c>
      <c r="K39" s="27">
        <v>46195</v>
      </c>
      <c r="L39" s="10" t="s">
        <v>25</v>
      </c>
      <c r="M39" s="10"/>
      <c r="N39">
        <v>1</v>
      </c>
      <c r="Q39" s="7"/>
    </row>
    <row r="40" spans="1:17" ht="17.25" customHeight="1" x14ac:dyDescent="0.35">
      <c r="A40" s="10">
        <v>39</v>
      </c>
      <c r="B40" s="7">
        <v>36</v>
      </c>
      <c r="C40" s="7" t="s">
        <v>302</v>
      </c>
      <c r="D40" s="7" t="s">
        <v>21</v>
      </c>
      <c r="E40" s="7" t="s">
        <v>9</v>
      </c>
      <c r="F40" s="7" t="s">
        <v>52</v>
      </c>
      <c r="G40" s="7" t="s">
        <v>13</v>
      </c>
      <c r="H40" s="7"/>
      <c r="I40" s="7"/>
      <c r="J40" s="7">
        <v>441</v>
      </c>
      <c r="K40" s="7"/>
      <c r="L40" s="10" t="s">
        <v>14</v>
      </c>
      <c r="M40" s="10"/>
      <c r="N40">
        <v>1</v>
      </c>
      <c r="Q40" s="7"/>
    </row>
    <row r="41" spans="1:17" ht="17.25" customHeight="1" x14ac:dyDescent="0.35">
      <c r="A41" s="10">
        <v>40</v>
      </c>
      <c r="B41" s="7">
        <v>47</v>
      </c>
      <c r="C41" s="7" t="s">
        <v>303</v>
      </c>
      <c r="D41" s="7" t="s">
        <v>37</v>
      </c>
      <c r="E41" s="7" t="s">
        <v>9</v>
      </c>
      <c r="F41" s="7" t="s">
        <v>9</v>
      </c>
      <c r="G41" s="7" t="s">
        <v>13</v>
      </c>
      <c r="H41" s="7"/>
      <c r="I41" s="7"/>
      <c r="J41" s="7">
        <v>375</v>
      </c>
      <c r="K41" s="7"/>
      <c r="L41" s="7" t="s">
        <v>14</v>
      </c>
      <c r="M41" s="7"/>
      <c r="N41">
        <v>1</v>
      </c>
      <c r="Q41" s="7"/>
    </row>
    <row r="42" spans="1:17" ht="17.25" customHeight="1" x14ac:dyDescent="0.35">
      <c r="A42" s="10">
        <v>41</v>
      </c>
      <c r="B42" s="7">
        <v>27</v>
      </c>
      <c r="C42" s="7" t="s">
        <v>304</v>
      </c>
      <c r="D42" s="7" t="s">
        <v>21</v>
      </c>
      <c r="E42" s="7" t="s">
        <v>9</v>
      </c>
      <c r="F42" s="7" t="s">
        <v>60</v>
      </c>
      <c r="G42" s="7" t="s">
        <v>13</v>
      </c>
      <c r="H42" s="7"/>
      <c r="I42" s="7"/>
      <c r="J42" s="7">
        <v>290</v>
      </c>
      <c r="K42" s="27"/>
      <c r="L42" s="10" t="s">
        <v>14</v>
      </c>
      <c r="M42" s="10"/>
      <c r="N42">
        <v>1</v>
      </c>
      <c r="Q42" s="7"/>
    </row>
    <row r="43" spans="1:17" ht="17.25" customHeight="1" x14ac:dyDescent="0.35">
      <c r="A43" s="10">
        <v>42</v>
      </c>
      <c r="B43" s="7">
        <v>225</v>
      </c>
      <c r="C43" s="7" t="s">
        <v>305</v>
      </c>
      <c r="D43" s="7" t="s">
        <v>31</v>
      </c>
      <c r="E43" s="7" t="s">
        <v>9</v>
      </c>
      <c r="F43" s="7" t="s">
        <v>306</v>
      </c>
      <c r="G43" s="7" t="s">
        <v>13</v>
      </c>
      <c r="H43" s="7"/>
      <c r="I43" s="7"/>
      <c r="J43" s="7">
        <v>469</v>
      </c>
      <c r="K43" s="7"/>
      <c r="L43" s="10" t="s">
        <v>14</v>
      </c>
      <c r="M43" s="10"/>
      <c r="N43">
        <v>1</v>
      </c>
      <c r="Q43" s="7"/>
    </row>
    <row r="44" spans="1:17" ht="17.25" customHeight="1" x14ac:dyDescent="0.35">
      <c r="A44" s="10">
        <v>43</v>
      </c>
      <c r="B44" s="7">
        <v>137</v>
      </c>
      <c r="C44" s="7" t="s">
        <v>307</v>
      </c>
      <c r="D44" s="7" t="s">
        <v>29</v>
      </c>
      <c r="E44" s="7" t="s">
        <v>9</v>
      </c>
      <c r="F44" s="7" t="s">
        <v>9</v>
      </c>
      <c r="G44" s="7" t="s">
        <v>13</v>
      </c>
      <c r="H44" s="7"/>
      <c r="I44" s="7"/>
      <c r="J44" s="7">
        <v>741</v>
      </c>
      <c r="K44" s="7"/>
      <c r="L44" s="10" t="s">
        <v>14</v>
      </c>
      <c r="M44" s="10"/>
      <c r="N44">
        <v>1</v>
      </c>
      <c r="Q44" s="7"/>
    </row>
    <row r="45" spans="1:17" ht="17.25" customHeight="1" x14ac:dyDescent="0.35">
      <c r="A45" s="10">
        <v>44</v>
      </c>
      <c r="B45" s="7">
        <v>134</v>
      </c>
      <c r="C45" s="7" t="s">
        <v>308</v>
      </c>
      <c r="D45" s="7" t="s">
        <v>90</v>
      </c>
      <c r="E45" s="7" t="s">
        <v>9</v>
      </c>
      <c r="F45" s="7" t="s">
        <v>9</v>
      </c>
      <c r="G45" s="7" t="s">
        <v>13</v>
      </c>
      <c r="H45" s="7"/>
      <c r="I45" s="7"/>
      <c r="J45" s="7">
        <v>399</v>
      </c>
      <c r="K45" s="7"/>
      <c r="L45" s="10" t="s">
        <v>14</v>
      </c>
      <c r="M45" s="10"/>
      <c r="N45">
        <v>1</v>
      </c>
      <c r="Q45" s="7"/>
    </row>
    <row r="46" spans="1:17" ht="17.25" customHeight="1" x14ac:dyDescent="0.35">
      <c r="A46" s="10">
        <v>45</v>
      </c>
      <c r="B46" s="7">
        <v>2</v>
      </c>
      <c r="C46" s="7" t="s">
        <v>309</v>
      </c>
      <c r="D46" s="7" t="s">
        <v>21</v>
      </c>
      <c r="E46" s="7" t="s">
        <v>9</v>
      </c>
      <c r="F46" s="7" t="s">
        <v>9</v>
      </c>
      <c r="G46" s="7" t="s">
        <v>13</v>
      </c>
      <c r="H46" s="7"/>
      <c r="I46" s="7"/>
      <c r="J46" s="7">
        <v>681</v>
      </c>
      <c r="K46" s="7"/>
      <c r="L46" s="10" t="s">
        <v>14</v>
      </c>
      <c r="M46" s="10"/>
      <c r="N46">
        <v>1</v>
      </c>
      <c r="Q46" s="7"/>
    </row>
    <row r="47" spans="1:17" ht="17.25" customHeight="1" x14ac:dyDescent="0.35">
      <c r="A47" s="10">
        <v>46</v>
      </c>
      <c r="B47" s="7">
        <v>69</v>
      </c>
      <c r="C47" s="7" t="s">
        <v>310</v>
      </c>
      <c r="D47" s="7" t="s">
        <v>23</v>
      </c>
      <c r="E47" s="7" t="s">
        <v>9</v>
      </c>
      <c r="F47" s="7" t="s">
        <v>9</v>
      </c>
      <c r="G47" s="7" t="s">
        <v>13</v>
      </c>
      <c r="H47" s="7"/>
      <c r="I47" s="7"/>
      <c r="J47" s="7">
        <v>373</v>
      </c>
      <c r="K47" s="7"/>
      <c r="L47" s="7" t="s">
        <v>14</v>
      </c>
      <c r="M47" s="7"/>
      <c r="N47">
        <v>1</v>
      </c>
      <c r="Q47" s="7"/>
    </row>
    <row r="48" spans="1:17" ht="17.25" customHeight="1" x14ac:dyDescent="0.35">
      <c r="A48" s="10">
        <v>47</v>
      </c>
      <c r="B48" s="7">
        <v>141</v>
      </c>
      <c r="C48" s="7" t="s">
        <v>311</v>
      </c>
      <c r="D48" s="7" t="s">
        <v>34</v>
      </c>
      <c r="E48" s="7" t="s">
        <v>9</v>
      </c>
      <c r="F48" s="7" t="s">
        <v>9</v>
      </c>
      <c r="G48" s="7" t="s">
        <v>13</v>
      </c>
      <c r="H48" s="7"/>
      <c r="I48" s="7"/>
      <c r="J48" s="7">
        <v>473</v>
      </c>
      <c r="K48" s="7"/>
      <c r="L48" s="7" t="s">
        <v>14</v>
      </c>
      <c r="M48" s="7"/>
      <c r="N48">
        <v>1</v>
      </c>
      <c r="Q48" s="7"/>
    </row>
    <row r="49" spans="1:17" ht="17.25" customHeight="1" x14ac:dyDescent="0.35">
      <c r="A49" s="10">
        <v>48</v>
      </c>
      <c r="B49" s="7">
        <v>143</v>
      </c>
      <c r="C49" s="7" t="s">
        <v>312</v>
      </c>
      <c r="D49" s="7" t="s">
        <v>34</v>
      </c>
      <c r="E49" s="7" t="s">
        <v>9</v>
      </c>
      <c r="F49" s="7" t="s">
        <v>9</v>
      </c>
      <c r="G49" s="7" t="s">
        <v>13</v>
      </c>
      <c r="H49" s="7"/>
      <c r="I49" s="7"/>
      <c r="J49" s="7">
        <v>746</v>
      </c>
      <c r="K49" s="7"/>
      <c r="L49" s="7" t="s">
        <v>14</v>
      </c>
      <c r="M49" s="7"/>
      <c r="N49">
        <v>1</v>
      </c>
      <c r="Q49" s="7"/>
    </row>
    <row r="50" spans="1:17" ht="17.25" customHeight="1" x14ac:dyDescent="0.35">
      <c r="A50" s="10">
        <v>49</v>
      </c>
      <c r="B50" s="7">
        <v>137</v>
      </c>
      <c r="C50" s="7" t="s">
        <v>313</v>
      </c>
      <c r="D50" s="7" t="s">
        <v>29</v>
      </c>
      <c r="E50" s="7" t="s">
        <v>9</v>
      </c>
      <c r="F50" s="7" t="s">
        <v>9</v>
      </c>
      <c r="G50" s="7" t="s">
        <v>13</v>
      </c>
      <c r="H50" s="7"/>
      <c r="I50" s="7"/>
      <c r="J50" s="7">
        <v>741</v>
      </c>
      <c r="K50" s="7"/>
      <c r="L50" s="10" t="s">
        <v>14</v>
      </c>
      <c r="M50" s="10"/>
      <c r="N50">
        <v>1</v>
      </c>
      <c r="Q50" s="7"/>
    </row>
    <row r="51" spans="1:17" ht="17.25" customHeight="1" x14ac:dyDescent="0.35">
      <c r="A51" s="10">
        <v>50</v>
      </c>
      <c r="B51" s="7">
        <v>29</v>
      </c>
      <c r="C51" s="7" t="s">
        <v>314</v>
      </c>
      <c r="D51" s="7" t="s">
        <v>29</v>
      </c>
      <c r="E51" s="7" t="s">
        <v>9</v>
      </c>
      <c r="F51" s="7" t="s">
        <v>9</v>
      </c>
      <c r="G51" s="7" t="s">
        <v>13</v>
      </c>
      <c r="H51" s="7"/>
      <c r="I51" s="7"/>
      <c r="J51" s="7">
        <v>136</v>
      </c>
      <c r="K51" s="7"/>
      <c r="L51" s="10" t="s">
        <v>14</v>
      </c>
      <c r="M51" s="10"/>
      <c r="N51">
        <v>1</v>
      </c>
      <c r="Q51" s="7"/>
    </row>
    <row r="52" spans="1:17" ht="17.25" customHeight="1" x14ac:dyDescent="0.35">
      <c r="A52" s="10">
        <v>51</v>
      </c>
      <c r="B52" s="7">
        <v>88</v>
      </c>
      <c r="C52" s="7" t="s">
        <v>315</v>
      </c>
      <c r="D52" s="7" t="s">
        <v>316</v>
      </c>
      <c r="E52" s="7" t="s">
        <v>9</v>
      </c>
      <c r="F52" s="7" t="s">
        <v>9</v>
      </c>
      <c r="G52" s="7" t="s">
        <v>13</v>
      </c>
      <c r="H52" s="7"/>
      <c r="I52" s="7"/>
      <c r="J52" s="7">
        <v>550</v>
      </c>
      <c r="K52" s="7"/>
      <c r="L52" s="7" t="s">
        <v>14</v>
      </c>
      <c r="M52" s="7"/>
      <c r="N52">
        <v>1</v>
      </c>
      <c r="Q52" s="7"/>
    </row>
    <row r="53" spans="1:17" ht="17.25" customHeight="1" x14ac:dyDescent="0.35">
      <c r="A53" s="10">
        <v>52</v>
      </c>
      <c r="B53" s="7">
        <v>89</v>
      </c>
      <c r="C53" s="7" t="s">
        <v>317</v>
      </c>
      <c r="D53" s="7" t="s">
        <v>318</v>
      </c>
      <c r="E53" s="7" t="s">
        <v>9</v>
      </c>
      <c r="F53" s="7" t="s">
        <v>9</v>
      </c>
      <c r="G53" s="7" t="s">
        <v>13</v>
      </c>
      <c r="H53" s="7"/>
      <c r="I53" s="7"/>
      <c r="J53" s="7">
        <v>273</v>
      </c>
      <c r="K53" s="7"/>
      <c r="L53" s="10" t="s">
        <v>14</v>
      </c>
      <c r="M53" s="10"/>
      <c r="N53">
        <v>1</v>
      </c>
      <c r="Q53" s="7"/>
    </row>
    <row r="54" spans="1:17" ht="17.25" customHeight="1" x14ac:dyDescent="0.35">
      <c r="A54" s="10">
        <v>53</v>
      </c>
      <c r="B54" s="7">
        <v>134</v>
      </c>
      <c r="C54" s="7" t="s">
        <v>196</v>
      </c>
      <c r="D54" s="7" t="s">
        <v>21</v>
      </c>
      <c r="E54" s="7" t="s">
        <v>281</v>
      </c>
      <c r="F54" s="7" t="s">
        <v>60</v>
      </c>
      <c r="G54" s="7" t="s">
        <v>13</v>
      </c>
      <c r="H54" s="7"/>
      <c r="I54" s="7"/>
      <c r="J54" s="7">
        <v>500</v>
      </c>
      <c r="K54" s="7"/>
      <c r="L54" s="10" t="s">
        <v>24</v>
      </c>
      <c r="M54" s="41" t="s">
        <v>319</v>
      </c>
      <c r="N54">
        <v>1</v>
      </c>
      <c r="Q54" s="7"/>
    </row>
    <row r="55" spans="1:17" ht="17.25" customHeight="1" x14ac:dyDescent="0.35">
      <c r="A55" s="10">
        <v>54</v>
      </c>
      <c r="B55" s="7">
        <v>65</v>
      </c>
      <c r="C55" s="7" t="s">
        <v>196</v>
      </c>
      <c r="D55" s="7" t="s">
        <v>31</v>
      </c>
      <c r="E55" s="7" t="s">
        <v>281</v>
      </c>
      <c r="F55" s="7" t="s">
        <v>116</v>
      </c>
      <c r="G55" s="7" t="s">
        <v>13</v>
      </c>
      <c r="H55" s="7"/>
      <c r="I55" s="7"/>
      <c r="J55" s="7">
        <v>500</v>
      </c>
      <c r="K55" s="27">
        <v>46196</v>
      </c>
      <c r="L55" s="7" t="s">
        <v>266</v>
      </c>
      <c r="M55" s="10"/>
      <c r="N55">
        <v>1</v>
      </c>
      <c r="Q55" s="7"/>
    </row>
    <row r="56" spans="1:17" ht="17.25" customHeight="1" x14ac:dyDescent="0.35">
      <c r="A56" s="10">
        <v>55</v>
      </c>
      <c r="B56" s="7">
        <v>27</v>
      </c>
      <c r="C56" s="7" t="s">
        <v>194</v>
      </c>
      <c r="D56" s="7" t="s">
        <v>21</v>
      </c>
      <c r="E56" s="7" t="s">
        <v>9</v>
      </c>
      <c r="F56" s="7" t="s">
        <v>9</v>
      </c>
      <c r="G56" s="7" t="s">
        <v>13</v>
      </c>
      <c r="H56" s="7">
        <f>J56+I56</f>
        <v>959</v>
      </c>
      <c r="I56" s="7">
        <v>125</v>
      </c>
      <c r="J56" s="7">
        <v>834</v>
      </c>
      <c r="K56" s="27"/>
      <c r="L56" s="7" t="s">
        <v>14</v>
      </c>
      <c r="M56" s="41" t="s">
        <v>319</v>
      </c>
      <c r="N56">
        <v>1</v>
      </c>
      <c r="Q56" s="7"/>
    </row>
    <row r="57" spans="1:17" ht="17.25" customHeight="1" x14ac:dyDescent="0.35">
      <c r="A57" s="10">
        <v>56</v>
      </c>
      <c r="B57" s="7">
        <v>62</v>
      </c>
      <c r="C57" s="7" t="s">
        <v>115</v>
      </c>
      <c r="D57" s="7" t="s">
        <v>58</v>
      </c>
      <c r="E57" s="7" t="s">
        <v>9</v>
      </c>
      <c r="F57" s="7" t="s">
        <v>9</v>
      </c>
      <c r="G57" s="22" t="s">
        <v>13</v>
      </c>
      <c r="H57" s="7"/>
      <c r="I57" s="7"/>
      <c r="J57" s="7">
        <v>543</v>
      </c>
      <c r="K57" s="27">
        <v>46196</v>
      </c>
      <c r="L57" s="10" t="s">
        <v>14</v>
      </c>
      <c r="M57" s="7"/>
      <c r="N57">
        <v>1</v>
      </c>
      <c r="Q57" s="7"/>
    </row>
    <row r="58" spans="1:17" ht="17.25" customHeight="1" x14ac:dyDescent="0.35">
      <c r="A58" s="10">
        <v>57</v>
      </c>
      <c r="B58" s="7">
        <v>9</v>
      </c>
      <c r="C58" s="7" t="s">
        <v>320</v>
      </c>
      <c r="D58" s="7" t="s">
        <v>21</v>
      </c>
      <c r="E58" s="7" t="s">
        <v>9</v>
      </c>
      <c r="F58" s="7" t="s">
        <v>9</v>
      </c>
      <c r="G58" s="7" t="s">
        <v>13</v>
      </c>
      <c r="H58" s="7"/>
      <c r="I58" s="7"/>
      <c r="J58" s="7">
        <v>1039</v>
      </c>
      <c r="K58" s="7"/>
      <c r="L58" s="7" t="s">
        <v>14</v>
      </c>
      <c r="M58" s="7"/>
      <c r="N58">
        <v>1</v>
      </c>
      <c r="Q58" s="7"/>
    </row>
    <row r="59" spans="1:17" ht="17.25" customHeight="1" x14ac:dyDescent="0.35">
      <c r="A59" s="10">
        <v>58</v>
      </c>
      <c r="B59" s="7">
        <v>7</v>
      </c>
      <c r="C59" s="7" t="s">
        <v>232</v>
      </c>
      <c r="D59" s="7" t="s">
        <v>289</v>
      </c>
      <c r="E59" s="7" t="s">
        <v>9</v>
      </c>
      <c r="F59" s="7" t="s">
        <v>9</v>
      </c>
      <c r="G59" s="7" t="s">
        <v>13</v>
      </c>
      <c r="H59" s="7"/>
      <c r="I59" s="7"/>
      <c r="J59" s="7">
        <v>553</v>
      </c>
      <c r="K59" s="7"/>
      <c r="L59" s="7" t="s">
        <v>14</v>
      </c>
      <c r="M59" s="10"/>
      <c r="N59">
        <v>1</v>
      </c>
      <c r="Q59" s="7"/>
    </row>
    <row r="60" spans="1:17" ht="17.25" customHeight="1" x14ac:dyDescent="0.35">
      <c r="A60" s="10">
        <v>59</v>
      </c>
      <c r="B60" s="7">
        <v>5</v>
      </c>
      <c r="C60" s="7" t="s">
        <v>321</v>
      </c>
      <c r="D60" s="7" t="s">
        <v>289</v>
      </c>
      <c r="E60" s="7" t="s">
        <v>9</v>
      </c>
      <c r="F60" s="7" t="s">
        <v>9</v>
      </c>
      <c r="G60" s="7" t="s">
        <v>13</v>
      </c>
      <c r="H60" s="7"/>
      <c r="I60" s="7"/>
      <c r="J60" s="7">
        <v>532</v>
      </c>
      <c r="K60" s="7"/>
      <c r="L60" s="7" t="s">
        <v>14</v>
      </c>
      <c r="M60" s="7"/>
      <c r="N60">
        <v>1</v>
      </c>
      <c r="Q60" s="7"/>
    </row>
    <row r="61" spans="1:17" ht="17.25" customHeight="1" x14ac:dyDescent="0.35">
      <c r="A61" s="10">
        <v>60</v>
      </c>
      <c r="B61" s="7">
        <v>3</v>
      </c>
      <c r="C61" s="7" t="s">
        <v>28</v>
      </c>
      <c r="D61" s="7" t="s">
        <v>12</v>
      </c>
      <c r="E61" s="7" t="s">
        <v>9</v>
      </c>
      <c r="F61" s="7" t="s">
        <v>9</v>
      </c>
      <c r="G61" s="7" t="s">
        <v>13</v>
      </c>
      <c r="H61" s="7"/>
      <c r="I61" s="7"/>
      <c r="J61" s="7">
        <v>1116</v>
      </c>
      <c r="K61" s="7"/>
      <c r="L61" s="7" t="s">
        <v>14</v>
      </c>
      <c r="M61" s="7"/>
      <c r="N61">
        <v>1</v>
      </c>
      <c r="Q61" s="7"/>
    </row>
    <row r="62" spans="1:17" ht="17.25" customHeight="1" x14ac:dyDescent="0.35">
      <c r="A62" s="10">
        <v>61</v>
      </c>
      <c r="B62" s="7">
        <v>82</v>
      </c>
      <c r="C62" s="7" t="s">
        <v>195</v>
      </c>
      <c r="D62" s="7" t="s">
        <v>21</v>
      </c>
      <c r="E62" s="7" t="s">
        <v>281</v>
      </c>
      <c r="F62" s="7" t="s">
        <v>213</v>
      </c>
      <c r="G62" s="7" t="s">
        <v>13</v>
      </c>
      <c r="H62" s="7"/>
      <c r="I62" s="7"/>
      <c r="J62" s="7">
        <v>533</v>
      </c>
      <c r="K62" s="7"/>
      <c r="L62" s="10" t="s">
        <v>25</v>
      </c>
      <c r="M62" s="7"/>
      <c r="N62">
        <v>1</v>
      </c>
      <c r="Q62" s="7"/>
    </row>
    <row r="63" spans="1:17" ht="17.25" customHeight="1" x14ac:dyDescent="0.35">
      <c r="A63" s="10">
        <v>62</v>
      </c>
      <c r="B63" s="7">
        <v>79</v>
      </c>
      <c r="C63" s="7" t="s">
        <v>322</v>
      </c>
      <c r="D63" s="7" t="s">
        <v>12</v>
      </c>
      <c r="E63" s="7" t="s">
        <v>281</v>
      </c>
      <c r="F63" s="7" t="s">
        <v>25</v>
      </c>
      <c r="G63" s="7" t="s">
        <v>13</v>
      </c>
      <c r="H63" s="7"/>
      <c r="I63" s="7"/>
      <c r="J63" s="7">
        <v>500</v>
      </c>
      <c r="K63" s="7"/>
      <c r="L63" s="10" t="s">
        <v>25</v>
      </c>
      <c r="M63" s="7"/>
      <c r="N63">
        <v>1</v>
      </c>
      <c r="Q63" s="7"/>
    </row>
    <row r="64" spans="1:17" ht="17.25" customHeight="1" x14ac:dyDescent="0.35">
      <c r="A64" s="10">
        <v>63</v>
      </c>
      <c r="B64" s="7">
        <v>83</v>
      </c>
      <c r="C64" s="7" t="s">
        <v>47</v>
      </c>
      <c r="D64" s="7" t="s">
        <v>12</v>
      </c>
      <c r="E64" s="7" t="s">
        <v>9</v>
      </c>
      <c r="F64" s="7" t="s">
        <v>9</v>
      </c>
      <c r="G64" s="7" t="s">
        <v>13</v>
      </c>
      <c r="H64" s="7"/>
      <c r="I64" s="7"/>
      <c r="J64" s="7">
        <v>500</v>
      </c>
      <c r="K64" s="7"/>
      <c r="L64" s="10" t="s">
        <v>25</v>
      </c>
      <c r="M64" s="7"/>
      <c r="N64">
        <v>1</v>
      </c>
      <c r="Q64" s="7"/>
    </row>
    <row r="65" spans="1:17" ht="17.25" customHeight="1" x14ac:dyDescent="0.35">
      <c r="A65" s="10">
        <v>64</v>
      </c>
      <c r="B65" s="7">
        <v>45</v>
      </c>
      <c r="C65" s="7" t="s">
        <v>231</v>
      </c>
      <c r="D65" s="7" t="s">
        <v>34</v>
      </c>
      <c r="E65" s="7" t="s">
        <v>281</v>
      </c>
      <c r="F65" s="7" t="s">
        <v>213</v>
      </c>
      <c r="G65" s="7" t="s">
        <v>13</v>
      </c>
      <c r="H65" s="7"/>
      <c r="I65" s="7"/>
      <c r="J65" s="7">
        <v>145</v>
      </c>
      <c r="K65" s="7"/>
      <c r="L65" s="10" t="s">
        <v>25</v>
      </c>
      <c r="M65" s="10"/>
      <c r="N65">
        <v>1</v>
      </c>
      <c r="Q65" s="7"/>
    </row>
    <row r="66" spans="1:17" ht="17.25" customHeight="1" x14ac:dyDescent="0.35">
      <c r="A66" s="10">
        <v>65</v>
      </c>
      <c r="B66" s="7">
        <v>178</v>
      </c>
      <c r="C66" s="7" t="s">
        <v>133</v>
      </c>
      <c r="D66" s="7" t="s">
        <v>23</v>
      </c>
      <c r="E66" s="7" t="s">
        <v>281</v>
      </c>
      <c r="F66" s="7" t="s">
        <v>296</v>
      </c>
      <c r="G66" s="7" t="s">
        <v>13</v>
      </c>
      <c r="H66" s="7"/>
      <c r="I66" s="7"/>
      <c r="J66" s="7">
        <v>651</v>
      </c>
      <c r="K66" s="27">
        <v>46196</v>
      </c>
      <c r="L66" s="10" t="s">
        <v>14</v>
      </c>
      <c r="M66" s="10" t="s">
        <v>323</v>
      </c>
      <c r="N66">
        <v>1</v>
      </c>
      <c r="Q66" s="7"/>
    </row>
    <row r="67" spans="1:17" ht="17.25" customHeight="1" x14ac:dyDescent="0.35">
      <c r="A67" s="10">
        <v>66</v>
      </c>
      <c r="B67" s="7">
        <v>158</v>
      </c>
      <c r="C67" s="7" t="s">
        <v>133</v>
      </c>
      <c r="D67" s="7" t="s">
        <v>23</v>
      </c>
      <c r="E67" s="7" t="s">
        <v>9</v>
      </c>
      <c r="F67" s="7" t="s">
        <v>9</v>
      </c>
      <c r="G67" s="7" t="s">
        <v>13</v>
      </c>
      <c r="H67" s="7"/>
      <c r="I67" s="7"/>
      <c r="J67" s="7">
        <v>390</v>
      </c>
      <c r="K67" s="27">
        <v>46198</v>
      </c>
      <c r="L67" s="10" t="s">
        <v>14</v>
      </c>
      <c r="M67" s="10"/>
      <c r="N67">
        <v>1</v>
      </c>
      <c r="Q67" s="7"/>
    </row>
    <row r="68" spans="1:17" ht="17.25" customHeight="1" x14ac:dyDescent="0.35">
      <c r="A68" s="10">
        <v>67</v>
      </c>
      <c r="B68" s="7">
        <v>6</v>
      </c>
      <c r="C68" s="7" t="s">
        <v>93</v>
      </c>
      <c r="D68" s="7" t="s">
        <v>34</v>
      </c>
      <c r="E68" s="7" t="s">
        <v>281</v>
      </c>
      <c r="F68" s="7" t="s">
        <v>296</v>
      </c>
      <c r="G68" s="7" t="s">
        <v>13</v>
      </c>
      <c r="H68" s="7"/>
      <c r="I68" s="7"/>
      <c r="J68" s="7">
        <v>195</v>
      </c>
      <c r="K68" s="7"/>
      <c r="L68" s="10" t="s">
        <v>14</v>
      </c>
      <c r="M68" s="10"/>
      <c r="N68">
        <v>1</v>
      </c>
      <c r="Q68" s="7"/>
    </row>
    <row r="69" spans="1:17" ht="17.25" customHeight="1" x14ac:dyDescent="0.35">
      <c r="A69" s="10">
        <v>68</v>
      </c>
      <c r="B69" s="7">
        <v>160</v>
      </c>
      <c r="C69" s="7" t="s">
        <v>223</v>
      </c>
      <c r="D69" s="7" t="s">
        <v>29</v>
      </c>
      <c r="E69" s="7" t="s">
        <v>9</v>
      </c>
      <c r="F69" s="7" t="s">
        <v>9</v>
      </c>
      <c r="G69" s="7" t="s">
        <v>13</v>
      </c>
      <c r="H69" s="7"/>
      <c r="I69" s="7"/>
      <c r="J69" s="7">
        <v>500</v>
      </c>
      <c r="K69" s="27"/>
      <c r="L69" s="7" t="s">
        <v>266</v>
      </c>
      <c r="M69" s="10"/>
      <c r="N69">
        <v>1</v>
      </c>
      <c r="Q69" s="7"/>
    </row>
    <row r="70" spans="1:17" ht="17.25" customHeight="1" x14ac:dyDescent="0.35">
      <c r="A70" s="10">
        <v>69</v>
      </c>
      <c r="B70" s="7">
        <v>81</v>
      </c>
      <c r="C70" s="7" t="s">
        <v>226</v>
      </c>
      <c r="D70" s="7" t="s">
        <v>42</v>
      </c>
      <c r="E70" s="7" t="s">
        <v>281</v>
      </c>
      <c r="F70" s="7" t="s">
        <v>60</v>
      </c>
      <c r="G70" s="7" t="s">
        <v>13</v>
      </c>
      <c r="H70" s="7"/>
      <c r="I70" s="7"/>
      <c r="J70" s="7">
        <v>328</v>
      </c>
      <c r="K70" s="7"/>
      <c r="L70" s="7" t="s">
        <v>25</v>
      </c>
      <c r="M70" s="10"/>
      <c r="N70">
        <v>1</v>
      </c>
      <c r="Q70" s="7"/>
    </row>
    <row r="71" spans="1:17" ht="17.25" customHeight="1" x14ac:dyDescent="0.35">
      <c r="A71" s="10">
        <v>70</v>
      </c>
      <c r="B71" s="7">
        <v>16</v>
      </c>
      <c r="C71" s="7" t="s">
        <v>91</v>
      </c>
      <c r="D71" s="7" t="s">
        <v>29</v>
      </c>
      <c r="E71" s="7" t="s">
        <v>281</v>
      </c>
      <c r="F71" s="7" t="s">
        <v>281</v>
      </c>
      <c r="G71" s="7" t="s">
        <v>13</v>
      </c>
      <c r="H71" s="7">
        <f>J71+I71</f>
        <v>297</v>
      </c>
      <c r="I71" s="7">
        <v>66</v>
      </c>
      <c r="J71" s="7">
        <v>231</v>
      </c>
      <c r="K71" s="7"/>
      <c r="L71" s="10" t="s">
        <v>14</v>
      </c>
      <c r="M71" s="10"/>
      <c r="N71">
        <v>1</v>
      </c>
      <c r="Q71" s="7"/>
    </row>
    <row r="72" spans="1:17" ht="17.25" customHeight="1" x14ac:dyDescent="0.35">
      <c r="A72" s="10">
        <v>71</v>
      </c>
      <c r="B72" s="7">
        <v>19</v>
      </c>
      <c r="C72" s="7" t="s">
        <v>91</v>
      </c>
      <c r="D72" s="7" t="s">
        <v>46</v>
      </c>
      <c r="E72" s="7" t="s">
        <v>281</v>
      </c>
      <c r="F72" s="7" t="s">
        <v>112</v>
      </c>
      <c r="G72" s="7" t="s">
        <v>13</v>
      </c>
      <c r="H72" s="7">
        <f>J72+I72</f>
        <v>415</v>
      </c>
      <c r="I72" s="7">
        <v>88</v>
      </c>
      <c r="J72" s="7">
        <v>327</v>
      </c>
      <c r="K72" s="27">
        <v>46197</v>
      </c>
      <c r="L72" s="10" t="s">
        <v>14</v>
      </c>
      <c r="M72" s="7"/>
      <c r="N72">
        <v>1</v>
      </c>
      <c r="Q72" s="7"/>
    </row>
    <row r="73" spans="1:17" ht="17.25" customHeight="1" x14ac:dyDescent="0.35">
      <c r="A73" s="10">
        <v>72</v>
      </c>
      <c r="B73" s="7">
        <v>125</v>
      </c>
      <c r="C73" s="7" t="s">
        <v>221</v>
      </c>
      <c r="D73" s="7" t="s">
        <v>37</v>
      </c>
      <c r="E73" s="7" t="s">
        <v>281</v>
      </c>
      <c r="F73" s="7" t="s">
        <v>60</v>
      </c>
      <c r="G73" s="7" t="s">
        <v>13</v>
      </c>
      <c r="H73" s="7">
        <f>J73+I73</f>
        <v>678</v>
      </c>
      <c r="I73" s="7">
        <v>66</v>
      </c>
      <c r="J73" s="7">
        <v>612</v>
      </c>
      <c r="K73" s="27">
        <v>46201</v>
      </c>
      <c r="L73" s="7" t="s">
        <v>25</v>
      </c>
      <c r="M73" s="7" t="s">
        <v>323</v>
      </c>
      <c r="N73">
        <v>1</v>
      </c>
      <c r="Q73" s="7"/>
    </row>
    <row r="74" spans="1:17" ht="17.25" customHeight="1" x14ac:dyDescent="0.35">
      <c r="A74" s="10">
        <v>73</v>
      </c>
      <c r="B74" s="7">
        <v>273</v>
      </c>
      <c r="C74" s="7" t="s">
        <v>220</v>
      </c>
      <c r="D74" s="7" t="s">
        <v>324</v>
      </c>
      <c r="E74" s="7" t="s">
        <v>281</v>
      </c>
      <c r="F74" s="7" t="s">
        <v>112</v>
      </c>
      <c r="G74" s="7" t="s">
        <v>13</v>
      </c>
      <c r="H74" s="7"/>
      <c r="I74" s="7"/>
      <c r="J74" s="7">
        <v>649</v>
      </c>
      <c r="K74" s="27">
        <v>46197</v>
      </c>
      <c r="L74" s="7" t="s">
        <v>14</v>
      </c>
      <c r="M74" s="10"/>
      <c r="N74">
        <v>1</v>
      </c>
      <c r="Q74" s="7"/>
    </row>
    <row r="75" spans="1:17" ht="17.25" customHeight="1" x14ac:dyDescent="0.35">
      <c r="A75" s="10">
        <v>74</v>
      </c>
      <c r="B75" s="7">
        <v>17</v>
      </c>
      <c r="C75" s="7" t="s">
        <v>217</v>
      </c>
      <c r="D75" s="7" t="s">
        <v>324</v>
      </c>
      <c r="E75" s="7" t="s">
        <v>9</v>
      </c>
      <c r="F75" s="7" t="s">
        <v>9</v>
      </c>
      <c r="G75" s="7" t="s">
        <v>13</v>
      </c>
      <c r="H75" s="7">
        <f>J75+I75</f>
        <v>938</v>
      </c>
      <c r="I75" s="7">
        <v>104</v>
      </c>
      <c r="J75" s="7">
        <v>834</v>
      </c>
      <c r="K75" s="27"/>
      <c r="L75" s="7" t="s">
        <v>14</v>
      </c>
      <c r="M75" s="10"/>
      <c r="N75">
        <v>1</v>
      </c>
      <c r="Q75" s="7"/>
    </row>
    <row r="76" spans="1:17" ht="17.25" customHeight="1" x14ac:dyDescent="0.35">
      <c r="A76" s="10">
        <v>75</v>
      </c>
      <c r="B76" s="7">
        <v>31</v>
      </c>
      <c r="C76" s="7" t="s">
        <v>325</v>
      </c>
      <c r="D76" s="7" t="s">
        <v>23</v>
      </c>
      <c r="E76" s="7" t="s">
        <v>281</v>
      </c>
      <c r="F76" s="7" t="s">
        <v>326</v>
      </c>
      <c r="G76" s="7" t="s">
        <v>13</v>
      </c>
      <c r="H76" s="7">
        <f>J76+I76</f>
        <v>960</v>
      </c>
      <c r="I76" s="7">
        <v>87</v>
      </c>
      <c r="J76" s="7">
        <v>873</v>
      </c>
      <c r="K76" s="27">
        <v>46200</v>
      </c>
      <c r="L76" s="7" t="s">
        <v>24</v>
      </c>
      <c r="M76" s="7" t="s">
        <v>323</v>
      </c>
      <c r="N76">
        <v>1</v>
      </c>
      <c r="Q76" s="7"/>
    </row>
    <row r="77" spans="1:17" ht="17.25" customHeight="1" x14ac:dyDescent="0.35">
      <c r="A77" s="10">
        <v>76</v>
      </c>
      <c r="B77" s="7">
        <v>59</v>
      </c>
      <c r="C77" s="7" t="s">
        <v>325</v>
      </c>
      <c r="D77" s="7" t="s">
        <v>23</v>
      </c>
      <c r="E77" s="7" t="s">
        <v>281</v>
      </c>
      <c r="F77" s="7" t="s">
        <v>327</v>
      </c>
      <c r="G77" s="7" t="s">
        <v>13</v>
      </c>
      <c r="H77" s="7"/>
      <c r="I77" s="7"/>
      <c r="J77" s="7">
        <v>226</v>
      </c>
      <c r="K77" s="27">
        <v>46201</v>
      </c>
      <c r="L77" s="7" t="s">
        <v>25</v>
      </c>
      <c r="M77" s="7"/>
      <c r="N77">
        <v>1</v>
      </c>
      <c r="Q77" s="7"/>
    </row>
    <row r="78" spans="1:17" ht="17.25" customHeight="1" x14ac:dyDescent="0.35">
      <c r="A78" s="10">
        <v>77</v>
      </c>
      <c r="B78" s="7">
        <v>150</v>
      </c>
      <c r="C78" s="7" t="s">
        <v>328</v>
      </c>
      <c r="D78" s="7" t="s">
        <v>21</v>
      </c>
      <c r="E78" s="7" t="s">
        <v>281</v>
      </c>
      <c r="F78" s="7" t="s">
        <v>213</v>
      </c>
      <c r="G78" s="7" t="s">
        <v>13</v>
      </c>
      <c r="H78" s="7">
        <f>J78+I78</f>
        <v>375</v>
      </c>
      <c r="I78" s="7">
        <v>79</v>
      </c>
      <c r="J78" s="7">
        <v>296</v>
      </c>
      <c r="K78" s="7"/>
      <c r="L78" s="7" t="s">
        <v>25</v>
      </c>
      <c r="M78" s="7"/>
      <c r="N78">
        <v>1</v>
      </c>
      <c r="Q78" s="7"/>
    </row>
    <row r="79" spans="1:17" ht="17.25" customHeight="1" x14ac:dyDescent="0.35">
      <c r="A79" s="10">
        <v>78</v>
      </c>
      <c r="B79" s="7">
        <v>175</v>
      </c>
      <c r="C79" s="7" t="s">
        <v>214</v>
      </c>
      <c r="D79" s="7" t="s">
        <v>31</v>
      </c>
      <c r="E79" s="7" t="s">
        <v>281</v>
      </c>
      <c r="F79" s="7" t="s">
        <v>60</v>
      </c>
      <c r="G79" s="7" t="s">
        <v>13</v>
      </c>
      <c r="H79" s="7">
        <f>J79+I79</f>
        <v>318</v>
      </c>
      <c r="I79" s="7">
        <v>66</v>
      </c>
      <c r="J79" s="7">
        <v>252</v>
      </c>
      <c r="K79" s="27">
        <v>46195</v>
      </c>
      <c r="L79" s="7" t="s">
        <v>14</v>
      </c>
      <c r="M79" s="7"/>
      <c r="N79">
        <v>1</v>
      </c>
      <c r="Q79" s="7"/>
    </row>
    <row r="80" spans="1:17" ht="17.25" customHeight="1" x14ac:dyDescent="0.35">
      <c r="A80" s="10">
        <v>79</v>
      </c>
      <c r="B80" s="7">
        <v>97</v>
      </c>
      <c r="C80" s="7" t="s">
        <v>214</v>
      </c>
      <c r="D80" s="7" t="s">
        <v>35</v>
      </c>
      <c r="E80" s="7" t="s">
        <v>281</v>
      </c>
      <c r="F80" s="7" t="s">
        <v>60</v>
      </c>
      <c r="G80" s="7" t="s">
        <v>13</v>
      </c>
      <c r="H80" s="7">
        <f>J80+I80</f>
        <v>472</v>
      </c>
      <c r="I80" s="7">
        <v>84</v>
      </c>
      <c r="J80" s="7">
        <v>388</v>
      </c>
      <c r="K80" s="27">
        <v>46200</v>
      </c>
      <c r="L80" s="7" t="s">
        <v>14</v>
      </c>
      <c r="M80" s="7"/>
      <c r="N80">
        <v>1</v>
      </c>
      <c r="Q80" s="7"/>
    </row>
    <row r="81" spans="1:17" ht="17.25" customHeight="1" x14ac:dyDescent="0.35">
      <c r="A81" s="10">
        <v>80</v>
      </c>
      <c r="B81" s="7">
        <v>173</v>
      </c>
      <c r="C81" s="7" t="s">
        <v>212</v>
      </c>
      <c r="D81" s="7" t="s">
        <v>37</v>
      </c>
      <c r="E81" s="7" t="s">
        <v>281</v>
      </c>
      <c r="F81" s="7" t="s">
        <v>193</v>
      </c>
      <c r="G81" s="7" t="s">
        <v>13</v>
      </c>
      <c r="H81" s="7">
        <f>J81+I81</f>
        <v>1067</v>
      </c>
      <c r="I81" s="7">
        <v>113</v>
      </c>
      <c r="J81" s="7">
        <v>954</v>
      </c>
      <c r="K81" s="27">
        <v>46200</v>
      </c>
      <c r="L81" s="7" t="s">
        <v>14</v>
      </c>
      <c r="M81" s="7"/>
      <c r="N81">
        <v>1</v>
      </c>
      <c r="Q81" s="7"/>
    </row>
    <row r="82" spans="1:17" ht="17.25" customHeight="1" x14ac:dyDescent="0.35">
      <c r="A82" s="10">
        <v>81</v>
      </c>
      <c r="B82" s="7">
        <v>56</v>
      </c>
      <c r="C82" s="7" t="s">
        <v>209</v>
      </c>
      <c r="D82" s="7" t="s">
        <v>21</v>
      </c>
      <c r="E82" s="7" t="s">
        <v>281</v>
      </c>
      <c r="F82" s="7" t="s">
        <v>327</v>
      </c>
      <c r="G82" s="7" t="s">
        <v>13</v>
      </c>
      <c r="H82" s="7"/>
      <c r="I82" s="7"/>
      <c r="J82" s="7">
        <v>151</v>
      </c>
      <c r="K82" s="7"/>
      <c r="L82" s="7" t="s">
        <v>25</v>
      </c>
      <c r="M82" s="7"/>
      <c r="N82">
        <v>1</v>
      </c>
      <c r="Q82" s="7"/>
    </row>
    <row r="83" spans="1:17" ht="17.25" customHeight="1" x14ac:dyDescent="0.35">
      <c r="A83" s="10">
        <v>82</v>
      </c>
      <c r="B83" s="7">
        <v>9</v>
      </c>
      <c r="C83" s="7" t="s">
        <v>329</v>
      </c>
      <c r="D83" s="7" t="s">
        <v>21</v>
      </c>
      <c r="E83" s="7" t="s">
        <v>281</v>
      </c>
      <c r="F83" s="7" t="s">
        <v>60</v>
      </c>
      <c r="G83" s="7" t="s">
        <v>13</v>
      </c>
      <c r="H83" s="7">
        <f>J83+I83</f>
        <v>225</v>
      </c>
      <c r="I83" s="7">
        <v>66</v>
      </c>
      <c r="J83" s="7">
        <v>159</v>
      </c>
      <c r="K83" s="27">
        <v>46201</v>
      </c>
      <c r="L83" s="7" t="s">
        <v>14</v>
      </c>
      <c r="M83" s="7"/>
      <c r="N83">
        <v>1</v>
      </c>
      <c r="Q83" s="7"/>
    </row>
    <row r="84" spans="1:17" ht="17.25" customHeight="1" x14ac:dyDescent="0.35">
      <c r="A84" s="10">
        <v>83</v>
      </c>
      <c r="B84" s="7">
        <v>37</v>
      </c>
      <c r="C84" s="7" t="s">
        <v>206</v>
      </c>
      <c r="D84" s="7" t="s">
        <v>21</v>
      </c>
      <c r="E84" s="7" t="s">
        <v>281</v>
      </c>
      <c r="F84" s="7" t="s">
        <v>60</v>
      </c>
      <c r="G84" s="7" t="s">
        <v>13</v>
      </c>
      <c r="H84" s="7">
        <f>J84+I84</f>
        <v>458</v>
      </c>
      <c r="I84" s="7">
        <v>87</v>
      </c>
      <c r="J84" s="7">
        <v>371</v>
      </c>
      <c r="K84" s="27"/>
      <c r="L84" s="7" t="s">
        <v>14</v>
      </c>
      <c r="M84" s="7"/>
      <c r="N84">
        <v>1</v>
      </c>
      <c r="Q84" s="7"/>
    </row>
    <row r="85" spans="1:17" ht="17.25" customHeight="1" x14ac:dyDescent="0.35">
      <c r="A85" s="10">
        <v>84</v>
      </c>
      <c r="B85" s="7">
        <v>143</v>
      </c>
      <c r="C85" s="7" t="s">
        <v>206</v>
      </c>
      <c r="D85" s="7" t="s">
        <v>35</v>
      </c>
      <c r="E85" s="7" t="s">
        <v>281</v>
      </c>
      <c r="F85" s="7" t="s">
        <v>60</v>
      </c>
      <c r="G85" s="7" t="s">
        <v>13</v>
      </c>
      <c r="H85" s="7"/>
      <c r="I85" s="7"/>
      <c r="J85" s="7">
        <v>500</v>
      </c>
      <c r="K85" s="7"/>
      <c r="L85" s="7" t="s">
        <v>266</v>
      </c>
      <c r="M85" s="7"/>
      <c r="N85">
        <v>1</v>
      </c>
      <c r="Q85" s="7"/>
    </row>
    <row r="86" spans="1:17" ht="17.25" customHeight="1" x14ac:dyDescent="0.35">
      <c r="A86" s="10">
        <v>85</v>
      </c>
      <c r="B86" s="7">
        <v>16</v>
      </c>
      <c r="C86" s="7" t="s">
        <v>203</v>
      </c>
      <c r="D86" s="7" t="s">
        <v>29</v>
      </c>
      <c r="E86" s="7" t="s">
        <v>281</v>
      </c>
      <c r="F86" s="7" t="s">
        <v>112</v>
      </c>
      <c r="G86" s="7" t="s">
        <v>13</v>
      </c>
      <c r="H86" s="7">
        <f t="shared" ref="H86:H93" si="0">J86+I86</f>
        <v>417</v>
      </c>
      <c r="I86" s="7">
        <v>87</v>
      </c>
      <c r="J86" s="7">
        <v>330</v>
      </c>
      <c r="K86" s="7"/>
      <c r="L86" s="7" t="s">
        <v>14</v>
      </c>
      <c r="M86" s="7"/>
      <c r="N86">
        <v>1</v>
      </c>
      <c r="Q86" s="7"/>
    </row>
    <row r="87" spans="1:17" ht="17.25" customHeight="1" x14ac:dyDescent="0.35">
      <c r="A87" s="10">
        <v>86</v>
      </c>
      <c r="B87" s="7">
        <v>30</v>
      </c>
      <c r="C87" s="7" t="s">
        <v>330</v>
      </c>
      <c r="D87" s="7" t="s">
        <v>45</v>
      </c>
      <c r="E87" s="7" t="s">
        <v>281</v>
      </c>
      <c r="F87" s="7" t="s">
        <v>193</v>
      </c>
      <c r="G87" s="7" t="s">
        <v>13</v>
      </c>
      <c r="H87" s="7">
        <f t="shared" si="0"/>
        <v>862</v>
      </c>
      <c r="I87" s="7">
        <v>66</v>
      </c>
      <c r="J87" s="7">
        <v>796</v>
      </c>
      <c r="K87" s="7"/>
      <c r="L87" s="7" t="s">
        <v>14</v>
      </c>
      <c r="M87" s="7"/>
      <c r="N87">
        <v>1</v>
      </c>
      <c r="Q87" s="16"/>
    </row>
    <row r="88" spans="1:17" ht="17.25" customHeight="1" x14ac:dyDescent="0.35">
      <c r="A88" s="10">
        <v>87</v>
      </c>
      <c r="B88" s="7">
        <v>15</v>
      </c>
      <c r="C88" s="7" t="s">
        <v>205</v>
      </c>
      <c r="D88" s="7" t="s">
        <v>29</v>
      </c>
      <c r="E88" s="7" t="s">
        <v>9</v>
      </c>
      <c r="F88" s="7" t="s">
        <v>9</v>
      </c>
      <c r="G88" s="7" t="s">
        <v>13</v>
      </c>
      <c r="H88" s="7">
        <f t="shared" si="0"/>
        <v>771</v>
      </c>
      <c r="I88" s="7">
        <v>85</v>
      </c>
      <c r="J88" s="7">
        <v>686</v>
      </c>
      <c r="K88" s="27"/>
      <c r="L88" s="7" t="s">
        <v>14</v>
      </c>
      <c r="M88" s="7"/>
      <c r="N88">
        <v>1</v>
      </c>
      <c r="Q88" s="7"/>
    </row>
    <row r="89" spans="1:17" ht="17.25" customHeight="1" x14ac:dyDescent="0.35">
      <c r="A89" s="10">
        <v>88</v>
      </c>
      <c r="B89" s="7">
        <v>24</v>
      </c>
      <c r="C89" s="7" t="s">
        <v>205</v>
      </c>
      <c r="D89" s="7" t="s">
        <v>46</v>
      </c>
      <c r="E89" s="7" t="s">
        <v>281</v>
      </c>
      <c r="F89" s="7" t="s">
        <v>296</v>
      </c>
      <c r="G89" s="7" t="s">
        <v>13</v>
      </c>
      <c r="H89" s="7">
        <f t="shared" si="0"/>
        <v>1049</v>
      </c>
      <c r="I89" s="7">
        <v>103</v>
      </c>
      <c r="J89" s="7">
        <v>946</v>
      </c>
      <c r="K89" s="27">
        <v>46196</v>
      </c>
      <c r="L89" s="7" t="s">
        <v>14</v>
      </c>
      <c r="M89" s="7"/>
      <c r="N89">
        <v>1</v>
      </c>
      <c r="Q89" s="7"/>
    </row>
    <row r="90" spans="1:17" ht="17.25" customHeight="1" x14ac:dyDescent="0.35">
      <c r="A90" s="10">
        <v>89</v>
      </c>
      <c r="B90" s="7">
        <v>23</v>
      </c>
      <c r="C90" s="7" t="s">
        <v>331</v>
      </c>
      <c r="D90" s="7" t="s">
        <v>21</v>
      </c>
      <c r="E90" s="7" t="s">
        <v>281</v>
      </c>
      <c r="F90" s="7" t="s">
        <v>112</v>
      </c>
      <c r="G90" s="7" t="s">
        <v>13</v>
      </c>
      <c r="H90" s="7">
        <f t="shared" si="0"/>
        <v>361</v>
      </c>
      <c r="I90" s="7">
        <v>66</v>
      </c>
      <c r="J90" s="7">
        <v>295</v>
      </c>
      <c r="K90" s="7"/>
      <c r="L90" s="10" t="s">
        <v>14</v>
      </c>
      <c r="M90" s="7"/>
      <c r="N90">
        <v>1</v>
      </c>
      <c r="Q90" s="7"/>
    </row>
    <row r="91" spans="1:17" ht="17.25" customHeight="1" x14ac:dyDescent="0.35">
      <c r="A91" s="10">
        <v>90</v>
      </c>
      <c r="B91" s="7">
        <v>39</v>
      </c>
      <c r="C91" s="7" t="s">
        <v>163</v>
      </c>
      <c r="D91" s="7" t="s">
        <v>21</v>
      </c>
      <c r="E91" s="7" t="s">
        <v>281</v>
      </c>
      <c r="F91" s="7" t="s">
        <v>296</v>
      </c>
      <c r="G91" s="7" t="s">
        <v>13</v>
      </c>
      <c r="H91" s="7">
        <f t="shared" si="0"/>
        <v>941</v>
      </c>
      <c r="I91" s="7">
        <v>113</v>
      </c>
      <c r="J91" s="7">
        <v>828</v>
      </c>
      <c r="K91" s="7"/>
      <c r="L91" s="10" t="s">
        <v>25</v>
      </c>
      <c r="M91" s="7"/>
      <c r="N91">
        <v>1</v>
      </c>
      <c r="Q91" s="7"/>
    </row>
    <row r="92" spans="1:17" ht="17.25" customHeight="1" x14ac:dyDescent="0.35">
      <c r="A92" s="10">
        <v>91</v>
      </c>
      <c r="B92" s="7">
        <v>35</v>
      </c>
      <c r="C92" s="7" t="s">
        <v>291</v>
      </c>
      <c r="D92" s="7" t="s">
        <v>21</v>
      </c>
      <c r="E92" s="7" t="s">
        <v>281</v>
      </c>
      <c r="F92" s="7" t="s">
        <v>56</v>
      </c>
      <c r="G92" s="7" t="s">
        <v>13</v>
      </c>
      <c r="H92" s="7">
        <f t="shared" si="0"/>
        <v>573</v>
      </c>
      <c r="I92" s="7">
        <v>125</v>
      </c>
      <c r="J92" s="7">
        <v>448</v>
      </c>
      <c r="K92" s="27">
        <v>46203</v>
      </c>
      <c r="L92" s="10" t="s">
        <v>14</v>
      </c>
      <c r="M92" s="7" t="s">
        <v>332</v>
      </c>
      <c r="N92">
        <v>1</v>
      </c>
      <c r="Q92" s="7"/>
    </row>
    <row r="93" spans="1:17" ht="17.25" customHeight="1" x14ac:dyDescent="0.35">
      <c r="A93" s="10">
        <v>92</v>
      </c>
      <c r="B93" s="7">
        <v>27</v>
      </c>
      <c r="C93" s="7" t="s">
        <v>333</v>
      </c>
      <c r="D93" s="7" t="s">
        <v>21</v>
      </c>
      <c r="E93" s="7" t="s">
        <v>281</v>
      </c>
      <c r="F93" s="7" t="s">
        <v>296</v>
      </c>
      <c r="G93" s="7" t="s">
        <v>13</v>
      </c>
      <c r="H93" s="7">
        <f t="shared" si="0"/>
        <v>514</v>
      </c>
      <c r="I93" s="7">
        <v>66</v>
      </c>
      <c r="J93" s="7">
        <v>448</v>
      </c>
      <c r="K93" s="7"/>
      <c r="L93" s="10" t="s">
        <v>14</v>
      </c>
      <c r="M93" s="7"/>
      <c r="N93">
        <v>1</v>
      </c>
      <c r="Q93" s="7"/>
    </row>
    <row r="94" spans="1:17" ht="17.25" customHeight="1" x14ac:dyDescent="0.35">
      <c r="A94" s="10">
        <v>93</v>
      </c>
      <c r="B94" s="7">
        <v>98</v>
      </c>
      <c r="C94" s="7" t="s">
        <v>199</v>
      </c>
      <c r="D94" s="7" t="s">
        <v>324</v>
      </c>
      <c r="E94" s="7" t="s">
        <v>281</v>
      </c>
      <c r="F94" s="7" t="s">
        <v>112</v>
      </c>
      <c r="G94" s="7" t="s">
        <v>13</v>
      </c>
      <c r="H94" s="7"/>
      <c r="I94" s="7"/>
      <c r="J94" s="7">
        <v>500</v>
      </c>
      <c r="K94" s="27"/>
      <c r="L94" s="10" t="s">
        <v>25</v>
      </c>
      <c r="M94" s="10"/>
      <c r="N94">
        <v>1</v>
      </c>
      <c r="Q94" s="7"/>
    </row>
    <row r="95" spans="1:17" ht="17.25" customHeight="1" x14ac:dyDescent="0.35">
      <c r="A95" s="10">
        <v>94</v>
      </c>
      <c r="B95" s="7">
        <v>21</v>
      </c>
      <c r="C95" s="7" t="s">
        <v>167</v>
      </c>
      <c r="D95" s="7" t="s">
        <v>23</v>
      </c>
      <c r="E95" s="7" t="s">
        <v>281</v>
      </c>
      <c r="F95" s="7" t="s">
        <v>60</v>
      </c>
      <c r="G95" s="7" t="s">
        <v>13</v>
      </c>
      <c r="H95" s="7">
        <f>J95+I95</f>
        <v>741</v>
      </c>
      <c r="I95" s="7">
        <v>104</v>
      </c>
      <c r="J95" s="7">
        <v>637</v>
      </c>
      <c r="K95" s="7"/>
      <c r="L95" s="10" t="s">
        <v>25</v>
      </c>
      <c r="M95" s="10"/>
      <c r="N95">
        <v>1</v>
      </c>
      <c r="Q95" s="7"/>
    </row>
    <row r="96" spans="1:17" ht="17.25" customHeight="1" x14ac:dyDescent="0.35">
      <c r="A96" s="10">
        <v>95</v>
      </c>
      <c r="B96" s="7">
        <v>15</v>
      </c>
      <c r="C96" s="7" t="s">
        <v>160</v>
      </c>
      <c r="D96" s="7" t="s">
        <v>46</v>
      </c>
      <c r="E96" s="7" t="s">
        <v>281</v>
      </c>
      <c r="F96" s="7" t="s">
        <v>56</v>
      </c>
      <c r="G96" s="7" t="s">
        <v>13</v>
      </c>
      <c r="H96" s="7">
        <f>J96+I96</f>
        <v>266</v>
      </c>
      <c r="I96" s="7">
        <v>84</v>
      </c>
      <c r="J96" s="7">
        <v>182</v>
      </c>
      <c r="K96" s="7"/>
      <c r="L96" s="10" t="s">
        <v>25</v>
      </c>
      <c r="M96" s="10"/>
      <c r="N96">
        <v>1</v>
      </c>
      <c r="Q96" s="7"/>
    </row>
    <row r="97" spans="1:17" ht="17.25" customHeight="1" x14ac:dyDescent="0.35">
      <c r="A97" s="10">
        <v>96</v>
      </c>
      <c r="B97" s="7">
        <v>12</v>
      </c>
      <c r="C97" s="7" t="s">
        <v>154</v>
      </c>
      <c r="D97" s="7" t="s">
        <v>324</v>
      </c>
      <c r="E97" s="7" t="s">
        <v>281</v>
      </c>
      <c r="F97" s="7" t="s">
        <v>296</v>
      </c>
      <c r="G97" s="7" t="s">
        <v>13</v>
      </c>
      <c r="H97" s="7">
        <f>J97+I97</f>
        <v>644</v>
      </c>
      <c r="I97" s="7">
        <v>123</v>
      </c>
      <c r="J97" s="7">
        <v>521</v>
      </c>
      <c r="K97" s="29">
        <v>46200</v>
      </c>
      <c r="L97" s="10" t="s">
        <v>25</v>
      </c>
      <c r="M97" s="10"/>
      <c r="N97">
        <v>1</v>
      </c>
      <c r="Q97" s="7"/>
    </row>
    <row r="98" spans="1:17" ht="17.25" customHeight="1" x14ac:dyDescent="0.35">
      <c r="A98" s="10">
        <v>97</v>
      </c>
      <c r="B98" s="7">
        <v>4</v>
      </c>
      <c r="C98" s="7" t="s">
        <v>154</v>
      </c>
      <c r="D98" s="7" t="s">
        <v>45</v>
      </c>
      <c r="E98" s="7" t="s">
        <v>281</v>
      </c>
      <c r="F98" s="7" t="s">
        <v>296</v>
      </c>
      <c r="G98" s="7" t="s">
        <v>13</v>
      </c>
      <c r="H98" s="7">
        <f>J98+I98</f>
        <v>722</v>
      </c>
      <c r="I98" s="7">
        <v>103</v>
      </c>
      <c r="J98" s="7">
        <v>619</v>
      </c>
      <c r="K98" s="27">
        <v>46196</v>
      </c>
      <c r="L98" s="10" t="s">
        <v>14</v>
      </c>
      <c r="M98" s="10" t="s">
        <v>281</v>
      </c>
      <c r="N98">
        <v>1</v>
      </c>
      <c r="Q98" s="7"/>
    </row>
    <row r="99" spans="1:17" ht="17.25" customHeight="1" x14ac:dyDescent="0.35">
      <c r="A99" s="10">
        <v>98</v>
      </c>
      <c r="B99" s="7">
        <v>13</v>
      </c>
      <c r="C99" s="7" t="s">
        <v>156</v>
      </c>
      <c r="D99" s="7" t="s">
        <v>23</v>
      </c>
      <c r="E99" s="7" t="s">
        <v>281</v>
      </c>
      <c r="F99" s="7" t="s">
        <v>112</v>
      </c>
      <c r="G99" s="7" t="s">
        <v>13</v>
      </c>
      <c r="H99" s="7">
        <f>J99+I99</f>
        <v>733</v>
      </c>
      <c r="I99" s="7">
        <v>84</v>
      </c>
      <c r="J99" s="7">
        <v>649</v>
      </c>
      <c r="K99" s="29">
        <v>46200</v>
      </c>
      <c r="L99" s="10" t="s">
        <v>14</v>
      </c>
      <c r="M99" s="10" t="s">
        <v>281</v>
      </c>
      <c r="N99">
        <v>1</v>
      </c>
      <c r="Q99" s="7"/>
    </row>
    <row r="100" spans="1:17" ht="17.25" customHeight="1" x14ac:dyDescent="0.35">
      <c r="A100" s="10">
        <v>99</v>
      </c>
      <c r="B100" s="7">
        <v>33</v>
      </c>
      <c r="C100" s="7" t="s">
        <v>158</v>
      </c>
      <c r="D100" s="7" t="s">
        <v>23</v>
      </c>
      <c r="E100" s="7" t="s">
        <v>9</v>
      </c>
      <c r="F100" s="7" t="s">
        <v>9</v>
      </c>
      <c r="G100" s="7" t="s">
        <v>13</v>
      </c>
      <c r="H100" s="7"/>
      <c r="I100" s="7"/>
      <c r="J100" s="7">
        <v>321</v>
      </c>
      <c r="K100" s="7"/>
      <c r="L100" s="10" t="s">
        <v>14</v>
      </c>
      <c r="M100" s="10"/>
      <c r="N100">
        <v>1</v>
      </c>
      <c r="Q100" s="7"/>
    </row>
    <row r="101" spans="1:17" ht="17.25" customHeight="1" x14ac:dyDescent="0.35">
      <c r="A101" s="10">
        <v>100</v>
      </c>
      <c r="B101" s="7">
        <v>95</v>
      </c>
      <c r="C101" s="7" t="s">
        <v>148</v>
      </c>
      <c r="D101" s="7" t="s">
        <v>45</v>
      </c>
      <c r="E101" s="7" t="s">
        <v>9</v>
      </c>
      <c r="F101" s="7" t="s">
        <v>9</v>
      </c>
      <c r="G101" s="7" t="s">
        <v>13</v>
      </c>
      <c r="H101" s="7">
        <f t="shared" ref="H101:H118" si="1">J101+I101</f>
        <v>378</v>
      </c>
      <c r="I101" s="7">
        <v>66</v>
      </c>
      <c r="J101" s="7">
        <v>312</v>
      </c>
      <c r="K101" s="27">
        <v>46201</v>
      </c>
      <c r="L101" s="10" t="s">
        <v>14</v>
      </c>
      <c r="M101" s="10"/>
      <c r="N101">
        <v>1</v>
      </c>
      <c r="Q101" s="7"/>
    </row>
    <row r="102" spans="1:17" x14ac:dyDescent="0.35">
      <c r="A102" s="10">
        <v>101</v>
      </c>
      <c r="B102" s="7">
        <v>37</v>
      </c>
      <c r="C102" s="7" t="s">
        <v>334</v>
      </c>
      <c r="D102" s="7" t="s">
        <v>324</v>
      </c>
      <c r="E102" s="7" t="s">
        <v>281</v>
      </c>
      <c r="F102" s="7" t="s">
        <v>60</v>
      </c>
      <c r="G102" s="7" t="s">
        <v>13</v>
      </c>
      <c r="H102" s="7">
        <f t="shared" si="1"/>
        <v>673</v>
      </c>
      <c r="I102" s="7">
        <v>125</v>
      </c>
      <c r="J102" s="7">
        <v>548</v>
      </c>
      <c r="K102" s="27">
        <v>46201</v>
      </c>
      <c r="L102" s="7" t="s">
        <v>14</v>
      </c>
      <c r="M102" s="10"/>
      <c r="N102">
        <v>1</v>
      </c>
      <c r="Q102" s="7"/>
    </row>
    <row r="103" spans="1:17" x14ac:dyDescent="0.35">
      <c r="A103" s="10">
        <v>102</v>
      </c>
      <c r="B103" s="7">
        <v>11</v>
      </c>
      <c r="C103" s="7" t="s">
        <v>144</v>
      </c>
      <c r="D103" s="7" t="s">
        <v>324</v>
      </c>
      <c r="E103" s="7" t="s">
        <v>9</v>
      </c>
      <c r="F103" s="7" t="s">
        <v>9</v>
      </c>
      <c r="G103" s="7" t="s">
        <v>13</v>
      </c>
      <c r="H103" s="7">
        <f t="shared" si="1"/>
        <v>716</v>
      </c>
      <c r="I103" s="7">
        <v>125</v>
      </c>
      <c r="J103" s="7">
        <v>591</v>
      </c>
      <c r="K103" s="7"/>
      <c r="L103" s="10" t="s">
        <v>14</v>
      </c>
      <c r="M103" s="10"/>
      <c r="N103">
        <v>1</v>
      </c>
      <c r="Q103" s="7"/>
    </row>
    <row r="104" spans="1:17" x14ac:dyDescent="0.35">
      <c r="A104" s="10">
        <v>103</v>
      </c>
      <c r="B104" s="7">
        <v>14</v>
      </c>
      <c r="C104" s="7" t="s">
        <v>307</v>
      </c>
      <c r="D104" s="7" t="s">
        <v>21</v>
      </c>
      <c r="E104" s="7" t="s">
        <v>9</v>
      </c>
      <c r="F104" s="7" t="s">
        <v>9</v>
      </c>
      <c r="G104" s="7" t="s">
        <v>13</v>
      </c>
      <c r="H104" s="7">
        <f t="shared" si="1"/>
        <v>866</v>
      </c>
      <c r="I104" s="7">
        <v>103</v>
      </c>
      <c r="J104" s="7">
        <v>763</v>
      </c>
      <c r="K104" s="29">
        <v>46203</v>
      </c>
      <c r="L104" s="10" t="s">
        <v>25</v>
      </c>
      <c r="M104" s="10" t="s">
        <v>335</v>
      </c>
      <c r="N104">
        <v>1</v>
      </c>
      <c r="Q104" s="7"/>
    </row>
    <row r="105" spans="1:17" x14ac:dyDescent="0.35">
      <c r="A105" s="10">
        <v>104</v>
      </c>
      <c r="B105" s="7">
        <v>25</v>
      </c>
      <c r="C105" s="7" t="s">
        <v>336</v>
      </c>
      <c r="D105" s="7" t="s">
        <v>34</v>
      </c>
      <c r="E105" s="7" t="s">
        <v>9</v>
      </c>
      <c r="F105" s="7" t="s">
        <v>9</v>
      </c>
      <c r="G105" s="7" t="s">
        <v>13</v>
      </c>
      <c r="H105" s="7">
        <f t="shared" si="1"/>
        <v>933</v>
      </c>
      <c r="I105" s="7">
        <v>87</v>
      </c>
      <c r="J105" s="7">
        <v>846</v>
      </c>
      <c r="K105" s="7"/>
      <c r="L105" s="10" t="s">
        <v>14</v>
      </c>
      <c r="M105" s="10"/>
      <c r="N105">
        <v>1</v>
      </c>
      <c r="Q105" s="16"/>
    </row>
    <row r="106" spans="1:17" x14ac:dyDescent="0.35">
      <c r="A106" s="10">
        <v>105</v>
      </c>
      <c r="B106" s="7">
        <v>26</v>
      </c>
      <c r="C106" s="7" t="s">
        <v>337</v>
      </c>
      <c r="D106" s="7" t="s">
        <v>21</v>
      </c>
      <c r="E106" s="7" t="s">
        <v>9</v>
      </c>
      <c r="F106" s="7" t="s">
        <v>9</v>
      </c>
      <c r="G106" s="7" t="s">
        <v>13</v>
      </c>
      <c r="H106" s="7">
        <f t="shared" si="1"/>
        <v>864</v>
      </c>
      <c r="I106" s="7">
        <v>125</v>
      </c>
      <c r="J106" s="7">
        <v>739</v>
      </c>
      <c r="K106" s="27">
        <v>46200</v>
      </c>
      <c r="L106" s="10" t="s">
        <v>24</v>
      </c>
      <c r="M106" s="7" t="s">
        <v>338</v>
      </c>
      <c r="N106">
        <v>1</v>
      </c>
      <c r="Q106" s="7"/>
    </row>
    <row r="107" spans="1:17" x14ac:dyDescent="0.35">
      <c r="A107" s="10">
        <v>106</v>
      </c>
      <c r="B107" s="7">
        <v>12</v>
      </c>
      <c r="C107" s="7" t="s">
        <v>339</v>
      </c>
      <c r="D107" s="7" t="s">
        <v>79</v>
      </c>
      <c r="E107" s="7" t="s">
        <v>9</v>
      </c>
      <c r="F107" s="7" t="s">
        <v>9</v>
      </c>
      <c r="G107" s="7" t="s">
        <v>13</v>
      </c>
      <c r="H107" s="7">
        <f t="shared" si="1"/>
        <v>416</v>
      </c>
      <c r="I107" s="7">
        <v>103</v>
      </c>
      <c r="J107" s="7">
        <v>313</v>
      </c>
      <c r="K107" s="7"/>
      <c r="L107" s="7" t="s">
        <v>14</v>
      </c>
      <c r="M107" s="10"/>
      <c r="N107">
        <v>1</v>
      </c>
      <c r="Q107" s="7"/>
    </row>
    <row r="108" spans="1:17" x14ac:dyDescent="0.35">
      <c r="A108" s="10">
        <v>107</v>
      </c>
      <c r="B108" s="7">
        <v>8</v>
      </c>
      <c r="C108" s="7" t="s">
        <v>340</v>
      </c>
      <c r="D108" s="7" t="s">
        <v>23</v>
      </c>
      <c r="E108" s="7" t="s">
        <v>9</v>
      </c>
      <c r="F108" s="7" t="s">
        <v>9</v>
      </c>
      <c r="G108" s="7" t="s">
        <v>13</v>
      </c>
      <c r="H108" s="7">
        <f t="shared" si="1"/>
        <v>344</v>
      </c>
      <c r="I108" s="7">
        <v>125</v>
      </c>
      <c r="J108" s="7">
        <v>219</v>
      </c>
      <c r="K108" s="7"/>
      <c r="L108" s="7" t="s">
        <v>14</v>
      </c>
      <c r="M108" s="10"/>
      <c r="N108">
        <v>1</v>
      </c>
      <c r="Q108" s="7"/>
    </row>
    <row r="109" spans="1:17" x14ac:dyDescent="0.35">
      <c r="A109" s="10">
        <v>108</v>
      </c>
      <c r="B109" s="7">
        <v>158</v>
      </c>
      <c r="C109" s="7" t="s">
        <v>341</v>
      </c>
      <c r="D109" s="7" t="s">
        <v>46</v>
      </c>
      <c r="E109" s="7" t="s">
        <v>9</v>
      </c>
      <c r="F109" s="7" t="s">
        <v>9</v>
      </c>
      <c r="G109" s="7" t="s">
        <v>13</v>
      </c>
      <c r="H109" s="7">
        <f t="shared" si="1"/>
        <v>578</v>
      </c>
      <c r="I109" s="7">
        <v>66</v>
      </c>
      <c r="J109" s="7">
        <v>512</v>
      </c>
      <c r="K109" s="27"/>
      <c r="L109" s="7" t="s">
        <v>14</v>
      </c>
      <c r="M109" s="10"/>
      <c r="N109">
        <v>1</v>
      </c>
      <c r="Q109" s="7"/>
    </row>
    <row r="110" spans="1:17" x14ac:dyDescent="0.35">
      <c r="A110" s="10">
        <v>109</v>
      </c>
      <c r="B110" s="7">
        <v>157</v>
      </c>
      <c r="C110" s="7" t="s">
        <v>342</v>
      </c>
      <c r="D110" s="7" t="s">
        <v>61</v>
      </c>
      <c r="E110" s="7" t="s">
        <v>9</v>
      </c>
      <c r="F110" s="7" t="s">
        <v>9</v>
      </c>
      <c r="G110" s="7" t="s">
        <v>13</v>
      </c>
      <c r="H110" s="7">
        <f t="shared" si="1"/>
        <v>380</v>
      </c>
      <c r="I110" s="7">
        <v>103</v>
      </c>
      <c r="J110" s="7">
        <v>277</v>
      </c>
      <c r="K110" s="27"/>
      <c r="L110" s="10" t="s">
        <v>25</v>
      </c>
      <c r="M110" s="10"/>
      <c r="N110">
        <v>1</v>
      </c>
      <c r="Q110" s="7"/>
    </row>
    <row r="111" spans="1:17" x14ac:dyDescent="0.35">
      <c r="A111" s="10">
        <v>110</v>
      </c>
      <c r="B111" s="7">
        <v>31</v>
      </c>
      <c r="C111" s="7" t="s">
        <v>343</v>
      </c>
      <c r="D111" s="7" t="s">
        <v>324</v>
      </c>
      <c r="E111" s="7" t="s">
        <v>9</v>
      </c>
      <c r="F111" s="7" t="s">
        <v>9</v>
      </c>
      <c r="G111" s="7" t="s">
        <v>13</v>
      </c>
      <c r="H111" s="7">
        <f t="shared" si="1"/>
        <v>642</v>
      </c>
      <c r="I111" s="7">
        <v>104</v>
      </c>
      <c r="J111" s="7">
        <v>538</v>
      </c>
      <c r="K111" s="7"/>
      <c r="L111" s="7" t="s">
        <v>14</v>
      </c>
      <c r="M111" s="7"/>
      <c r="N111">
        <v>1</v>
      </c>
      <c r="Q111" s="7"/>
    </row>
    <row r="112" spans="1:17" x14ac:dyDescent="0.35">
      <c r="A112" s="10">
        <v>111</v>
      </c>
      <c r="B112" s="7">
        <v>111</v>
      </c>
      <c r="C112" s="7" t="s">
        <v>344</v>
      </c>
      <c r="D112" s="7" t="s">
        <v>21</v>
      </c>
      <c r="E112" s="7" t="s">
        <v>9</v>
      </c>
      <c r="F112" s="7" t="s">
        <v>9</v>
      </c>
      <c r="G112" s="7" t="s">
        <v>13</v>
      </c>
      <c r="H112" s="7">
        <f t="shared" si="1"/>
        <v>247</v>
      </c>
      <c r="I112" s="7">
        <v>125</v>
      </c>
      <c r="J112" s="7">
        <v>122</v>
      </c>
      <c r="K112" s="27">
        <v>46210</v>
      </c>
      <c r="L112" s="10" t="s">
        <v>25</v>
      </c>
      <c r="M112" s="7"/>
      <c r="N112">
        <v>1</v>
      </c>
      <c r="Q112" s="7"/>
    </row>
    <row r="113" spans="1:17" x14ac:dyDescent="0.35">
      <c r="A113" s="10">
        <v>112</v>
      </c>
      <c r="B113" s="7">
        <v>154</v>
      </c>
      <c r="C113" s="7" t="s">
        <v>345</v>
      </c>
      <c r="D113" s="7" t="s">
        <v>29</v>
      </c>
      <c r="E113" s="7" t="s">
        <v>9</v>
      </c>
      <c r="F113" s="7" t="s">
        <v>9</v>
      </c>
      <c r="G113" s="7" t="s">
        <v>13</v>
      </c>
      <c r="H113" s="7">
        <f t="shared" si="1"/>
        <v>762</v>
      </c>
      <c r="I113" s="7">
        <v>125</v>
      </c>
      <c r="J113" s="7">
        <v>637</v>
      </c>
      <c r="K113" s="29">
        <v>46203</v>
      </c>
      <c r="L113" s="7" t="s">
        <v>25</v>
      </c>
      <c r="M113" s="10" t="s">
        <v>335</v>
      </c>
      <c r="N113">
        <v>1</v>
      </c>
      <c r="Q113" s="7"/>
    </row>
    <row r="114" spans="1:17" x14ac:dyDescent="0.35">
      <c r="A114" s="10">
        <v>113</v>
      </c>
      <c r="B114" s="7">
        <v>123</v>
      </c>
      <c r="C114" s="7" t="s">
        <v>346</v>
      </c>
      <c r="D114" s="7" t="s">
        <v>23</v>
      </c>
      <c r="E114" s="7" t="s">
        <v>9</v>
      </c>
      <c r="F114" s="7" t="s">
        <v>9</v>
      </c>
      <c r="G114" s="7" t="s">
        <v>13</v>
      </c>
      <c r="H114" s="7">
        <f t="shared" si="1"/>
        <v>542</v>
      </c>
      <c r="I114" s="7">
        <v>125</v>
      </c>
      <c r="J114" s="7">
        <v>417</v>
      </c>
      <c r="K114" s="7"/>
      <c r="L114" s="7" t="s">
        <v>25</v>
      </c>
      <c r="M114" s="10"/>
      <c r="N114">
        <v>1</v>
      </c>
      <c r="Q114" s="7"/>
    </row>
    <row r="115" spans="1:17" x14ac:dyDescent="0.35">
      <c r="A115" s="10">
        <v>114</v>
      </c>
      <c r="B115" s="7">
        <v>124</v>
      </c>
      <c r="C115" s="7" t="s">
        <v>347</v>
      </c>
      <c r="D115" s="7" t="s">
        <v>34</v>
      </c>
      <c r="E115" s="7" t="s">
        <v>9</v>
      </c>
      <c r="F115" s="7" t="s">
        <v>9</v>
      </c>
      <c r="G115" s="7" t="s">
        <v>13</v>
      </c>
      <c r="H115" s="7">
        <f t="shared" si="1"/>
        <v>663</v>
      </c>
      <c r="I115" s="7">
        <v>103</v>
      </c>
      <c r="J115" s="7">
        <v>560</v>
      </c>
      <c r="K115" s="27"/>
      <c r="L115" s="10" t="s">
        <v>25</v>
      </c>
      <c r="M115" s="7"/>
      <c r="N115">
        <v>1</v>
      </c>
      <c r="Q115" s="16"/>
    </row>
    <row r="116" spans="1:17" x14ac:dyDescent="0.35">
      <c r="A116" s="10">
        <v>115</v>
      </c>
      <c r="B116" s="7">
        <v>35</v>
      </c>
      <c r="C116" s="7" t="s">
        <v>348</v>
      </c>
      <c r="D116" s="7" t="s">
        <v>23</v>
      </c>
      <c r="E116" s="7" t="s">
        <v>9</v>
      </c>
      <c r="F116" s="7" t="s">
        <v>9</v>
      </c>
      <c r="G116" s="7" t="s">
        <v>13</v>
      </c>
      <c r="H116" s="7">
        <f t="shared" si="1"/>
        <v>1027</v>
      </c>
      <c r="I116" s="7">
        <v>103</v>
      </c>
      <c r="J116" s="7">
        <v>924</v>
      </c>
      <c r="K116" s="29">
        <v>46203</v>
      </c>
      <c r="L116" s="7" t="s">
        <v>25</v>
      </c>
      <c r="M116" s="10" t="s">
        <v>335</v>
      </c>
      <c r="N116">
        <v>1</v>
      </c>
      <c r="Q116" s="7"/>
    </row>
    <row r="117" spans="1:17" x14ac:dyDescent="0.35">
      <c r="A117" s="10">
        <v>116</v>
      </c>
      <c r="B117" s="7">
        <v>73</v>
      </c>
      <c r="C117" s="7" t="s">
        <v>349</v>
      </c>
      <c r="D117" s="7" t="s">
        <v>45</v>
      </c>
      <c r="E117" s="7" t="s">
        <v>9</v>
      </c>
      <c r="F117" s="7" t="s">
        <v>112</v>
      </c>
      <c r="G117" s="7" t="s">
        <v>13</v>
      </c>
      <c r="H117" s="7">
        <f t="shared" si="1"/>
        <v>389</v>
      </c>
      <c r="I117" s="7">
        <v>125</v>
      </c>
      <c r="J117" s="7">
        <v>264</v>
      </c>
      <c r="K117" s="7"/>
      <c r="L117" s="10" t="s">
        <v>25</v>
      </c>
      <c r="M117" s="7"/>
      <c r="N117">
        <v>1</v>
      </c>
      <c r="Q117" s="7"/>
    </row>
    <row r="118" spans="1:17" x14ac:dyDescent="0.35">
      <c r="A118" s="10">
        <v>117</v>
      </c>
      <c r="B118" s="7">
        <v>75</v>
      </c>
      <c r="C118" s="7" t="s">
        <v>350</v>
      </c>
      <c r="D118" s="7" t="s">
        <v>45</v>
      </c>
      <c r="E118" s="7" t="s">
        <v>9</v>
      </c>
      <c r="F118" s="7" t="s">
        <v>112</v>
      </c>
      <c r="G118" s="7" t="s">
        <v>13</v>
      </c>
      <c r="H118" s="7">
        <f t="shared" si="1"/>
        <v>691</v>
      </c>
      <c r="I118" s="7">
        <v>103</v>
      </c>
      <c r="J118" s="7">
        <v>588</v>
      </c>
      <c r="K118" s="7"/>
      <c r="L118" s="10" t="s">
        <v>25</v>
      </c>
      <c r="M118" s="7"/>
      <c r="N118">
        <v>1</v>
      </c>
      <c r="Q118" s="7"/>
    </row>
    <row r="119" spans="1:17" x14ac:dyDescent="0.35">
      <c r="A119" s="10">
        <v>118</v>
      </c>
      <c r="B119" s="7">
        <v>56</v>
      </c>
      <c r="C119" s="7" t="s">
        <v>351</v>
      </c>
      <c r="D119" s="7" t="s">
        <v>45</v>
      </c>
      <c r="E119" s="7" t="s">
        <v>281</v>
      </c>
      <c r="F119" s="7" t="s">
        <v>60</v>
      </c>
      <c r="G119" s="7" t="s">
        <v>13</v>
      </c>
      <c r="H119" s="7"/>
      <c r="I119" s="7"/>
      <c r="J119" s="7">
        <v>429</v>
      </c>
      <c r="K119" s="7"/>
      <c r="L119" s="7" t="s">
        <v>14</v>
      </c>
      <c r="M119" s="10"/>
      <c r="N119">
        <v>1</v>
      </c>
      <c r="Q119" s="7"/>
    </row>
    <row r="120" spans="1:17" x14ac:dyDescent="0.35">
      <c r="A120" s="10">
        <v>119</v>
      </c>
      <c r="B120" s="7">
        <v>83</v>
      </c>
      <c r="C120" s="7" t="s">
        <v>352</v>
      </c>
      <c r="D120" s="7" t="s">
        <v>39</v>
      </c>
      <c r="E120" s="7" t="s">
        <v>9</v>
      </c>
      <c r="F120" s="7" t="s">
        <v>9</v>
      </c>
      <c r="G120" s="7" t="s">
        <v>13</v>
      </c>
      <c r="H120" s="7"/>
      <c r="I120" s="7"/>
      <c r="J120" s="7">
        <v>189</v>
      </c>
      <c r="K120" s="7"/>
      <c r="L120" s="7" t="s">
        <v>25</v>
      </c>
      <c r="M120" s="7"/>
      <c r="N120">
        <v>1</v>
      </c>
      <c r="Q120" s="7"/>
    </row>
    <row r="121" spans="1:17" x14ac:dyDescent="0.35">
      <c r="A121" s="10">
        <v>120</v>
      </c>
      <c r="B121" s="7">
        <v>85</v>
      </c>
      <c r="C121" s="7" t="s">
        <v>353</v>
      </c>
      <c r="D121" s="7" t="s">
        <v>73</v>
      </c>
      <c r="E121" s="7" t="s">
        <v>281</v>
      </c>
      <c r="F121" s="7" t="s">
        <v>213</v>
      </c>
      <c r="G121" s="7" t="s">
        <v>13</v>
      </c>
      <c r="H121" s="7"/>
      <c r="I121" s="7"/>
      <c r="J121" s="7">
        <v>218</v>
      </c>
      <c r="K121" s="29">
        <v>46200</v>
      </c>
      <c r="L121" s="7" t="s">
        <v>25</v>
      </c>
      <c r="M121" s="10"/>
      <c r="N121">
        <v>1</v>
      </c>
      <c r="Q121" s="7"/>
    </row>
    <row r="122" spans="1:17" x14ac:dyDescent="0.35">
      <c r="A122" s="10">
        <v>121</v>
      </c>
      <c r="B122" s="7">
        <v>62</v>
      </c>
      <c r="C122" s="7" t="s">
        <v>354</v>
      </c>
      <c r="D122" s="7" t="s">
        <v>45</v>
      </c>
      <c r="E122" s="7" t="s">
        <v>281</v>
      </c>
      <c r="F122" s="7" t="s">
        <v>110</v>
      </c>
      <c r="G122" s="7" t="s">
        <v>13</v>
      </c>
      <c r="H122" s="7"/>
      <c r="I122" s="7"/>
      <c r="J122" s="7">
        <v>500</v>
      </c>
      <c r="K122" s="29">
        <v>46200</v>
      </c>
      <c r="L122" s="10" t="s">
        <v>25</v>
      </c>
      <c r="M122" s="10"/>
      <c r="N122">
        <v>1</v>
      </c>
      <c r="Q122" s="7"/>
    </row>
    <row r="123" spans="1:17" x14ac:dyDescent="0.35">
      <c r="A123" s="10">
        <v>122</v>
      </c>
      <c r="B123" s="7">
        <v>64</v>
      </c>
      <c r="C123" s="7" t="s">
        <v>355</v>
      </c>
      <c r="D123" s="7" t="s">
        <v>29</v>
      </c>
      <c r="E123" s="7" t="s">
        <v>281</v>
      </c>
      <c r="F123" s="7" t="s">
        <v>114</v>
      </c>
      <c r="G123" s="7" t="s">
        <v>13</v>
      </c>
      <c r="H123" s="7"/>
      <c r="I123" s="7"/>
      <c r="J123" s="7">
        <v>500</v>
      </c>
      <c r="K123" s="7"/>
      <c r="L123" s="10" t="s">
        <v>25</v>
      </c>
      <c r="M123" s="7"/>
      <c r="N123">
        <v>1</v>
      </c>
      <c r="Q123" s="7"/>
    </row>
    <row r="124" spans="1:17" x14ac:dyDescent="0.35">
      <c r="A124" s="10">
        <v>123</v>
      </c>
      <c r="B124" s="7">
        <v>84</v>
      </c>
      <c r="C124" s="7" t="s">
        <v>356</v>
      </c>
      <c r="D124" s="7" t="s">
        <v>292</v>
      </c>
      <c r="E124" s="7" t="s">
        <v>281</v>
      </c>
      <c r="F124" s="7" t="s">
        <v>213</v>
      </c>
      <c r="G124" s="7" t="s">
        <v>13</v>
      </c>
      <c r="H124" s="7"/>
      <c r="I124" s="7"/>
      <c r="J124" s="7">
        <v>217</v>
      </c>
      <c r="K124" s="7"/>
      <c r="L124" s="7" t="s">
        <v>25</v>
      </c>
      <c r="M124" s="7"/>
      <c r="N124">
        <v>1</v>
      </c>
      <c r="Q124" s="7"/>
    </row>
    <row r="125" spans="1:17" x14ac:dyDescent="0.35">
      <c r="A125" s="10">
        <v>124</v>
      </c>
      <c r="B125" s="7">
        <v>28</v>
      </c>
      <c r="C125" s="7" t="s">
        <v>239</v>
      </c>
      <c r="D125" s="7" t="s">
        <v>23</v>
      </c>
      <c r="E125" s="7" t="s">
        <v>281</v>
      </c>
      <c r="F125" s="7" t="s">
        <v>60</v>
      </c>
      <c r="G125" s="7" t="s">
        <v>13</v>
      </c>
      <c r="H125" s="7"/>
      <c r="I125" s="7"/>
      <c r="J125" s="7">
        <v>680</v>
      </c>
      <c r="K125" s="7"/>
      <c r="L125" s="7" t="s">
        <v>14</v>
      </c>
      <c r="M125" s="7"/>
      <c r="N125">
        <v>1</v>
      </c>
      <c r="Q125" s="30"/>
    </row>
    <row r="126" spans="1:17" x14ac:dyDescent="0.35">
      <c r="A126" s="10">
        <v>125</v>
      </c>
      <c r="B126" s="7">
        <v>99</v>
      </c>
      <c r="C126" s="7" t="s">
        <v>239</v>
      </c>
      <c r="D126" s="7" t="s">
        <v>34</v>
      </c>
      <c r="E126" s="7" t="s">
        <v>281</v>
      </c>
      <c r="F126" s="7" t="s">
        <v>193</v>
      </c>
      <c r="G126" s="7" t="s">
        <v>13</v>
      </c>
      <c r="H126" s="7"/>
      <c r="I126" s="7"/>
      <c r="J126" s="7">
        <v>560</v>
      </c>
      <c r="K126" s="27">
        <v>46202</v>
      </c>
      <c r="L126" s="10" t="s">
        <v>14</v>
      </c>
      <c r="M126" s="7"/>
      <c r="N126">
        <v>1</v>
      </c>
      <c r="Q126" s="7"/>
    </row>
    <row r="127" spans="1:17" x14ac:dyDescent="0.35">
      <c r="A127" s="10">
        <v>126</v>
      </c>
      <c r="B127" s="7">
        <v>29</v>
      </c>
      <c r="C127" s="7" t="s">
        <v>236</v>
      </c>
      <c r="D127" s="7" t="s">
        <v>21</v>
      </c>
      <c r="E127" s="7" t="s">
        <v>281</v>
      </c>
      <c r="F127" s="7" t="s">
        <v>56</v>
      </c>
      <c r="G127" s="7" t="s">
        <v>13</v>
      </c>
      <c r="H127" s="7"/>
      <c r="I127" s="7"/>
      <c r="J127" s="7">
        <v>500</v>
      </c>
      <c r="K127" s="27"/>
      <c r="L127" s="7" t="s">
        <v>266</v>
      </c>
      <c r="M127" s="41" t="s">
        <v>319</v>
      </c>
      <c r="N127">
        <v>1</v>
      </c>
      <c r="Q127" s="7"/>
    </row>
    <row r="128" spans="1:17" x14ac:dyDescent="0.35">
      <c r="A128" s="10">
        <v>127</v>
      </c>
      <c r="B128" s="7">
        <v>36</v>
      </c>
      <c r="C128" s="7" t="s">
        <v>109</v>
      </c>
      <c r="D128" s="7" t="s">
        <v>53</v>
      </c>
      <c r="E128" s="7" t="s">
        <v>281</v>
      </c>
      <c r="F128" s="7" t="s">
        <v>60</v>
      </c>
      <c r="G128" s="7" t="s">
        <v>13</v>
      </c>
      <c r="H128" s="7"/>
      <c r="I128" s="7"/>
      <c r="J128" s="7">
        <v>500</v>
      </c>
      <c r="K128" s="27">
        <v>46199</v>
      </c>
      <c r="L128" s="7" t="s">
        <v>266</v>
      </c>
      <c r="M128" s="10" t="s">
        <v>357</v>
      </c>
      <c r="N128">
        <v>1</v>
      </c>
      <c r="Q128" s="7"/>
    </row>
    <row r="129" spans="1:17" x14ac:dyDescent="0.35">
      <c r="A129" s="10">
        <v>128</v>
      </c>
      <c r="B129" s="7">
        <v>21</v>
      </c>
      <c r="C129" s="7" t="s">
        <v>113</v>
      </c>
      <c r="D129" s="7" t="s">
        <v>30</v>
      </c>
      <c r="E129" s="7" t="s">
        <v>9</v>
      </c>
      <c r="F129" s="7" t="s">
        <v>9</v>
      </c>
      <c r="G129" s="7" t="s">
        <v>13</v>
      </c>
      <c r="H129" s="7">
        <f>J129+I129</f>
        <v>634</v>
      </c>
      <c r="I129" s="7">
        <v>113</v>
      </c>
      <c r="J129" s="7">
        <v>521</v>
      </c>
      <c r="K129" s="27">
        <v>46197</v>
      </c>
      <c r="L129" s="7" t="s">
        <v>14</v>
      </c>
      <c r="M129" s="10"/>
      <c r="N129">
        <v>1</v>
      </c>
      <c r="Q129" s="7"/>
    </row>
    <row r="130" spans="1:17" x14ac:dyDescent="0.35">
      <c r="A130" s="10">
        <v>129</v>
      </c>
      <c r="B130" s="7">
        <v>80</v>
      </c>
      <c r="C130" s="7" t="s">
        <v>234</v>
      </c>
      <c r="D130" s="7" t="s">
        <v>21</v>
      </c>
      <c r="E130" s="7" t="s">
        <v>281</v>
      </c>
      <c r="F130" s="7" t="s">
        <v>56</v>
      </c>
      <c r="G130" s="7" t="s">
        <v>13</v>
      </c>
      <c r="H130" s="7"/>
      <c r="I130" s="7"/>
      <c r="J130" s="7">
        <v>265</v>
      </c>
      <c r="K130" s="27"/>
      <c r="L130" s="7" t="s">
        <v>14</v>
      </c>
      <c r="M130" s="10"/>
      <c r="N130">
        <v>1</v>
      </c>
      <c r="Q130" s="7"/>
    </row>
    <row r="131" spans="1:17" x14ac:dyDescent="0.35">
      <c r="A131" s="10">
        <v>130</v>
      </c>
      <c r="B131" s="7">
        <v>167</v>
      </c>
      <c r="C131" s="7" t="s">
        <v>234</v>
      </c>
      <c r="D131" s="7" t="s">
        <v>34</v>
      </c>
      <c r="E131" s="7" t="s">
        <v>9</v>
      </c>
      <c r="F131" s="7" t="s">
        <v>9</v>
      </c>
      <c r="G131" s="7" t="s">
        <v>13</v>
      </c>
      <c r="H131" s="7"/>
      <c r="I131" s="7"/>
      <c r="J131" s="7">
        <v>500</v>
      </c>
      <c r="K131" s="7"/>
      <c r="L131" s="7" t="s">
        <v>266</v>
      </c>
      <c r="M131" s="7"/>
      <c r="N131">
        <v>1</v>
      </c>
      <c r="Q131" s="7"/>
    </row>
    <row r="132" spans="1:17" x14ac:dyDescent="0.35">
      <c r="A132" s="10">
        <v>131</v>
      </c>
      <c r="B132" s="7">
        <v>2</v>
      </c>
      <c r="C132" s="7" t="s">
        <v>358</v>
      </c>
      <c r="D132" s="7" t="s">
        <v>37</v>
      </c>
      <c r="E132" s="7" t="s">
        <v>9</v>
      </c>
      <c r="F132" s="7" t="s">
        <v>9</v>
      </c>
      <c r="G132" s="7" t="s">
        <v>13</v>
      </c>
      <c r="H132" s="7"/>
      <c r="I132" s="7"/>
      <c r="J132" s="7">
        <v>1103</v>
      </c>
      <c r="K132" s="27">
        <v>46199</v>
      </c>
      <c r="L132" s="7" t="s">
        <v>14</v>
      </c>
      <c r="M132" s="7" t="s">
        <v>281</v>
      </c>
      <c r="N132">
        <v>1</v>
      </c>
      <c r="Q132" s="7"/>
    </row>
    <row r="133" spans="1:17" x14ac:dyDescent="0.35">
      <c r="A133" s="10">
        <v>132</v>
      </c>
      <c r="B133" s="7">
        <v>1</v>
      </c>
      <c r="C133" s="7" t="s">
        <v>359</v>
      </c>
      <c r="D133" s="7" t="s">
        <v>39</v>
      </c>
      <c r="E133" s="7" t="s">
        <v>9</v>
      </c>
      <c r="F133" s="7" t="s">
        <v>9</v>
      </c>
      <c r="G133" s="7" t="s">
        <v>13</v>
      </c>
      <c r="H133" s="7"/>
      <c r="I133" s="7"/>
      <c r="J133" s="7">
        <v>541</v>
      </c>
      <c r="K133" s="7"/>
      <c r="L133" s="7" t="s">
        <v>14</v>
      </c>
      <c r="M133" s="10"/>
      <c r="N133">
        <v>1</v>
      </c>
      <c r="Q133" s="7"/>
    </row>
    <row r="134" spans="1:17" x14ac:dyDescent="0.35">
      <c r="A134" s="10">
        <v>133</v>
      </c>
      <c r="B134" s="7">
        <v>79</v>
      </c>
      <c r="C134" s="7" t="s">
        <v>55</v>
      </c>
      <c r="D134" s="7" t="s">
        <v>29</v>
      </c>
      <c r="E134" s="7" t="s">
        <v>281</v>
      </c>
      <c r="F134" s="7" t="s">
        <v>213</v>
      </c>
      <c r="G134" s="7" t="s">
        <v>27</v>
      </c>
      <c r="H134" s="7"/>
      <c r="I134" s="7"/>
      <c r="J134" s="7">
        <v>192</v>
      </c>
      <c r="K134" s="27">
        <v>46197</v>
      </c>
      <c r="L134" s="7" t="s">
        <v>25</v>
      </c>
      <c r="M134" s="7"/>
      <c r="N134">
        <v>1</v>
      </c>
      <c r="Q134" s="7"/>
    </row>
    <row r="135" spans="1:17" x14ac:dyDescent="0.35">
      <c r="A135" s="10">
        <v>134</v>
      </c>
      <c r="B135" s="7">
        <v>78</v>
      </c>
      <c r="C135" s="7" t="s">
        <v>72</v>
      </c>
      <c r="D135" s="7" t="s">
        <v>21</v>
      </c>
      <c r="E135" s="7" t="s">
        <v>281</v>
      </c>
      <c r="F135" s="7" t="s">
        <v>213</v>
      </c>
      <c r="G135" s="7" t="s">
        <v>27</v>
      </c>
      <c r="H135" s="7"/>
      <c r="I135" s="7"/>
      <c r="J135" s="7">
        <v>409</v>
      </c>
      <c r="K135" s="27">
        <v>46197</v>
      </c>
      <c r="L135" s="7" t="s">
        <v>25</v>
      </c>
      <c r="M135" s="7"/>
      <c r="N135">
        <v>1</v>
      </c>
      <c r="Q135" s="7"/>
    </row>
    <row r="136" spans="1:17" x14ac:dyDescent="0.35">
      <c r="A136" s="10">
        <v>135</v>
      </c>
      <c r="B136" s="7">
        <v>46</v>
      </c>
      <c r="C136" s="7" t="s">
        <v>360</v>
      </c>
      <c r="D136" s="7" t="s">
        <v>21</v>
      </c>
      <c r="E136" s="7" t="s">
        <v>281</v>
      </c>
      <c r="F136" s="7" t="s">
        <v>296</v>
      </c>
      <c r="G136" s="7" t="s">
        <v>13</v>
      </c>
      <c r="H136" s="7"/>
      <c r="I136" s="7"/>
      <c r="J136" s="7">
        <v>209</v>
      </c>
      <c r="K136" s="7"/>
      <c r="L136" s="10" t="s">
        <v>14</v>
      </c>
      <c r="M136" s="7"/>
      <c r="N136">
        <v>1</v>
      </c>
      <c r="Q136" s="7"/>
    </row>
    <row r="137" spans="1:17" x14ac:dyDescent="0.35">
      <c r="A137" s="10">
        <v>136</v>
      </c>
      <c r="B137" s="7">
        <v>36</v>
      </c>
      <c r="C137" s="7" t="s">
        <v>230</v>
      </c>
      <c r="D137" s="7" t="s">
        <v>361</v>
      </c>
      <c r="E137" s="7" t="s">
        <v>9</v>
      </c>
      <c r="F137" s="7" t="s">
        <v>52</v>
      </c>
      <c r="G137" s="7" t="s">
        <v>13</v>
      </c>
      <c r="H137" s="7"/>
      <c r="I137" s="7"/>
      <c r="J137" s="7">
        <v>596</v>
      </c>
      <c r="K137" s="27">
        <v>46206</v>
      </c>
      <c r="L137" s="10" t="s">
        <v>25</v>
      </c>
      <c r="M137" s="7"/>
      <c r="N137">
        <v>1</v>
      </c>
      <c r="Q137" s="7"/>
    </row>
    <row r="138" spans="1:17" x14ac:dyDescent="0.35">
      <c r="A138" s="10">
        <v>137</v>
      </c>
      <c r="B138" s="7">
        <v>72</v>
      </c>
      <c r="C138" s="7" t="s">
        <v>230</v>
      </c>
      <c r="D138" s="7" t="s">
        <v>46</v>
      </c>
      <c r="E138" s="7" t="s">
        <v>281</v>
      </c>
      <c r="F138" s="7" t="s">
        <v>213</v>
      </c>
      <c r="G138" s="7" t="s">
        <v>13</v>
      </c>
      <c r="H138" s="7"/>
      <c r="I138" s="7"/>
      <c r="J138" s="7">
        <v>552</v>
      </c>
      <c r="K138" s="27">
        <v>46197</v>
      </c>
      <c r="L138" s="7" t="s">
        <v>25</v>
      </c>
      <c r="M138" s="7"/>
      <c r="N138">
        <v>1</v>
      </c>
      <c r="Q138" s="7"/>
    </row>
    <row r="139" spans="1:17" x14ac:dyDescent="0.35">
      <c r="A139" s="10">
        <v>138</v>
      </c>
      <c r="B139" s="7">
        <v>83</v>
      </c>
      <c r="C139" s="7" t="s">
        <v>362</v>
      </c>
      <c r="D139" s="7" t="s">
        <v>12</v>
      </c>
      <c r="E139" s="7" t="s">
        <v>281</v>
      </c>
      <c r="F139" s="7" t="s">
        <v>213</v>
      </c>
      <c r="G139" s="7" t="s">
        <v>13</v>
      </c>
      <c r="H139" s="7">
        <f>J139+I139</f>
        <v>569</v>
      </c>
      <c r="I139" s="7">
        <v>66</v>
      </c>
      <c r="J139" s="7">
        <v>503</v>
      </c>
      <c r="K139" s="7"/>
      <c r="L139" s="10" t="s">
        <v>14</v>
      </c>
      <c r="M139" s="7"/>
      <c r="N139">
        <v>1</v>
      </c>
      <c r="Q139" s="7"/>
    </row>
    <row r="140" spans="1:17" x14ac:dyDescent="0.35">
      <c r="A140" s="10">
        <v>139</v>
      </c>
      <c r="B140" s="7">
        <v>79</v>
      </c>
      <c r="C140" s="7" t="s">
        <v>50</v>
      </c>
      <c r="D140" s="7" t="s">
        <v>12</v>
      </c>
      <c r="E140" s="7" t="s">
        <v>281</v>
      </c>
      <c r="F140" s="7" t="s">
        <v>296</v>
      </c>
      <c r="G140" s="7" t="s">
        <v>13</v>
      </c>
      <c r="H140" s="7">
        <f>J140+I140</f>
        <v>448</v>
      </c>
      <c r="I140" s="7">
        <v>84</v>
      </c>
      <c r="J140" s="7">
        <v>364</v>
      </c>
      <c r="K140" s="7"/>
      <c r="L140" s="10" t="s">
        <v>25</v>
      </c>
      <c r="M140" s="7"/>
      <c r="Q140" s="7"/>
    </row>
    <row r="141" spans="1:17" x14ac:dyDescent="0.35">
      <c r="A141" s="10">
        <v>140</v>
      </c>
      <c r="B141" s="7">
        <v>155</v>
      </c>
      <c r="C141" s="7" t="s">
        <v>229</v>
      </c>
      <c r="D141" s="7" t="s">
        <v>34</v>
      </c>
      <c r="E141" s="7" t="s">
        <v>9</v>
      </c>
      <c r="F141" s="7" t="s">
        <v>9</v>
      </c>
      <c r="G141" s="7" t="s">
        <v>13</v>
      </c>
      <c r="H141" s="7"/>
      <c r="I141" s="7"/>
      <c r="J141" s="7">
        <v>500</v>
      </c>
      <c r="K141" s="27"/>
      <c r="L141" s="7" t="s">
        <v>266</v>
      </c>
      <c r="M141" s="7"/>
      <c r="N141">
        <v>1</v>
      </c>
      <c r="Q141" s="7"/>
    </row>
    <row r="142" spans="1:17" x14ac:dyDescent="0.35">
      <c r="A142" s="10">
        <v>141</v>
      </c>
      <c r="B142" s="7">
        <v>98</v>
      </c>
      <c r="C142" s="7" t="s">
        <v>227</v>
      </c>
      <c r="D142" s="7" t="s">
        <v>34</v>
      </c>
      <c r="E142" s="7" t="s">
        <v>281</v>
      </c>
      <c r="F142" s="7" t="s">
        <v>170</v>
      </c>
      <c r="G142" s="7" t="s">
        <v>13</v>
      </c>
      <c r="H142" s="7">
        <f t="shared" ref="H142:H153" si="2">J142+I142</f>
        <v>388</v>
      </c>
      <c r="I142" s="7">
        <v>104</v>
      </c>
      <c r="J142" s="7">
        <v>284</v>
      </c>
      <c r="K142" s="7"/>
      <c r="L142" s="7" t="s">
        <v>14</v>
      </c>
      <c r="M142" s="7"/>
      <c r="N142">
        <v>1</v>
      </c>
      <c r="Q142" s="7"/>
    </row>
    <row r="143" spans="1:17" x14ac:dyDescent="0.35">
      <c r="A143" s="10">
        <v>142</v>
      </c>
      <c r="B143" s="7">
        <v>13</v>
      </c>
      <c r="C143" s="7" t="s">
        <v>225</v>
      </c>
      <c r="D143" s="7" t="s">
        <v>42</v>
      </c>
      <c r="E143" s="7" t="s">
        <v>281</v>
      </c>
      <c r="F143" s="7" t="s">
        <v>296</v>
      </c>
      <c r="G143" s="7" t="s">
        <v>13</v>
      </c>
      <c r="H143" s="7">
        <f t="shared" si="2"/>
        <v>384</v>
      </c>
      <c r="I143" s="7">
        <v>87</v>
      </c>
      <c r="J143" s="7">
        <v>297</v>
      </c>
      <c r="K143" s="27">
        <v>46204</v>
      </c>
      <c r="L143" s="10" t="s">
        <v>25</v>
      </c>
      <c r="M143" s="7"/>
      <c r="N143">
        <v>1</v>
      </c>
      <c r="Q143" s="7"/>
    </row>
    <row r="144" spans="1:17" x14ac:dyDescent="0.35">
      <c r="A144" s="10">
        <v>143</v>
      </c>
      <c r="B144" s="7">
        <v>13</v>
      </c>
      <c r="C144" s="7" t="s">
        <v>224</v>
      </c>
      <c r="D144" s="7" t="s">
        <v>34</v>
      </c>
      <c r="E144" s="7" t="s">
        <v>281</v>
      </c>
      <c r="F144" s="7" t="s">
        <v>60</v>
      </c>
      <c r="G144" s="7" t="s">
        <v>13</v>
      </c>
      <c r="H144" s="7">
        <f t="shared" si="2"/>
        <v>459</v>
      </c>
      <c r="I144" s="7">
        <v>84</v>
      </c>
      <c r="J144" s="7">
        <v>375</v>
      </c>
      <c r="K144" s="7"/>
      <c r="L144" s="10" t="s">
        <v>25</v>
      </c>
      <c r="M144" s="10"/>
      <c r="N144">
        <v>1</v>
      </c>
      <c r="Q144" s="7"/>
    </row>
    <row r="145" spans="1:17" x14ac:dyDescent="0.35">
      <c r="A145" s="10">
        <v>144</v>
      </c>
      <c r="B145" s="7">
        <v>174</v>
      </c>
      <c r="C145" s="7" t="s">
        <v>222</v>
      </c>
      <c r="D145" s="7" t="s">
        <v>71</v>
      </c>
      <c r="E145" s="7" t="s">
        <v>281</v>
      </c>
      <c r="F145" s="7" t="s">
        <v>60</v>
      </c>
      <c r="G145" s="7" t="s">
        <v>13</v>
      </c>
      <c r="H145" s="7">
        <f t="shared" si="2"/>
        <v>1087</v>
      </c>
      <c r="I145" s="7">
        <v>104</v>
      </c>
      <c r="J145" s="7">
        <v>983</v>
      </c>
      <c r="K145" s="29">
        <v>46200</v>
      </c>
      <c r="L145" s="7" t="s">
        <v>14</v>
      </c>
      <c r="M145" s="10"/>
      <c r="N145">
        <v>1</v>
      </c>
      <c r="Q145" s="7"/>
    </row>
    <row r="146" spans="1:17" x14ac:dyDescent="0.35">
      <c r="A146" s="10">
        <v>145</v>
      </c>
      <c r="B146" s="7">
        <v>166</v>
      </c>
      <c r="C146" s="7" t="s">
        <v>363</v>
      </c>
      <c r="D146" s="7" t="s">
        <v>75</v>
      </c>
      <c r="E146" s="7" t="s">
        <v>281</v>
      </c>
      <c r="F146" s="7" t="s">
        <v>112</v>
      </c>
      <c r="G146" s="7" t="s">
        <v>13</v>
      </c>
      <c r="H146" s="7">
        <f t="shared" si="2"/>
        <v>615</v>
      </c>
      <c r="I146" s="7">
        <v>125</v>
      </c>
      <c r="J146" s="7">
        <v>490</v>
      </c>
      <c r="K146" s="7"/>
      <c r="L146" s="7" t="s">
        <v>14</v>
      </c>
      <c r="M146" s="7"/>
      <c r="N146">
        <v>1</v>
      </c>
      <c r="Q146" s="7"/>
    </row>
    <row r="147" spans="1:17" x14ac:dyDescent="0.35">
      <c r="A147" s="10">
        <v>146</v>
      </c>
      <c r="B147" s="7">
        <v>173</v>
      </c>
      <c r="C147" s="7" t="s">
        <v>219</v>
      </c>
      <c r="D147" s="7" t="s">
        <v>34</v>
      </c>
      <c r="E147" s="7" t="s">
        <v>281</v>
      </c>
      <c r="F147" s="7" t="s">
        <v>112</v>
      </c>
      <c r="G147" s="7" t="s">
        <v>13</v>
      </c>
      <c r="H147" s="7">
        <f t="shared" si="2"/>
        <v>1110</v>
      </c>
      <c r="I147" s="7">
        <v>66</v>
      </c>
      <c r="J147" s="7">
        <v>1044</v>
      </c>
      <c r="K147" s="7"/>
      <c r="L147" s="7" t="s">
        <v>14</v>
      </c>
      <c r="M147" s="10"/>
      <c r="N147">
        <v>1</v>
      </c>
      <c r="Q147" s="7"/>
    </row>
    <row r="148" spans="1:17" x14ac:dyDescent="0.35">
      <c r="A148" s="10">
        <v>147</v>
      </c>
      <c r="B148" s="7">
        <v>31</v>
      </c>
      <c r="C148" s="7" t="s">
        <v>218</v>
      </c>
      <c r="D148" s="7" t="s">
        <v>364</v>
      </c>
      <c r="E148" s="7" t="s">
        <v>281</v>
      </c>
      <c r="F148" s="7" t="s">
        <v>296</v>
      </c>
      <c r="G148" s="7" t="s">
        <v>13</v>
      </c>
      <c r="H148" s="7">
        <f t="shared" si="2"/>
        <v>702</v>
      </c>
      <c r="I148" s="7">
        <v>113</v>
      </c>
      <c r="J148" s="7">
        <v>589</v>
      </c>
      <c r="K148" s="29">
        <v>46201</v>
      </c>
      <c r="L148" s="7" t="s">
        <v>14</v>
      </c>
      <c r="M148" s="10" t="s">
        <v>281</v>
      </c>
      <c r="N148">
        <v>1</v>
      </c>
      <c r="Q148" s="7"/>
    </row>
    <row r="149" spans="1:17" x14ac:dyDescent="0.35">
      <c r="A149" s="10">
        <v>148</v>
      </c>
      <c r="B149" s="7">
        <v>34</v>
      </c>
      <c r="C149" s="7" t="s">
        <v>218</v>
      </c>
      <c r="D149" s="7" t="s">
        <v>37</v>
      </c>
      <c r="E149" s="7" t="s">
        <v>281</v>
      </c>
      <c r="F149" s="7" t="s">
        <v>9</v>
      </c>
      <c r="G149" s="7" t="s">
        <v>13</v>
      </c>
      <c r="H149" s="7">
        <f t="shared" si="2"/>
        <v>861</v>
      </c>
      <c r="I149" s="7">
        <v>113</v>
      </c>
      <c r="J149" s="7">
        <v>748</v>
      </c>
      <c r="K149" s="27">
        <v>46197</v>
      </c>
      <c r="L149" s="7" t="s">
        <v>14</v>
      </c>
      <c r="M149" s="7"/>
      <c r="N149">
        <v>1</v>
      </c>
      <c r="Q149" s="7"/>
    </row>
    <row r="150" spans="1:17" x14ac:dyDescent="0.35">
      <c r="A150" s="10">
        <v>149</v>
      </c>
      <c r="B150" s="7">
        <v>6</v>
      </c>
      <c r="C150" s="7" t="s">
        <v>216</v>
      </c>
      <c r="D150" s="7" t="s">
        <v>21</v>
      </c>
      <c r="E150" s="7" t="s">
        <v>281</v>
      </c>
      <c r="F150" s="7" t="s">
        <v>281</v>
      </c>
      <c r="G150" s="7" t="s">
        <v>13</v>
      </c>
      <c r="H150" s="7">
        <f t="shared" si="2"/>
        <v>695</v>
      </c>
      <c r="I150" s="7">
        <v>113</v>
      </c>
      <c r="J150" s="7">
        <v>582</v>
      </c>
      <c r="K150" s="27">
        <v>46202</v>
      </c>
      <c r="L150" s="7" t="s">
        <v>14</v>
      </c>
      <c r="M150" s="7"/>
      <c r="N150">
        <v>1</v>
      </c>
      <c r="Q150" s="7"/>
    </row>
    <row r="151" spans="1:17" x14ac:dyDescent="0.35">
      <c r="A151" s="10">
        <v>150</v>
      </c>
      <c r="B151" s="7">
        <v>22</v>
      </c>
      <c r="C151" s="7" t="s">
        <v>215</v>
      </c>
      <c r="D151" s="7" t="s">
        <v>23</v>
      </c>
      <c r="E151" s="7" t="s">
        <v>9</v>
      </c>
      <c r="F151" s="7" t="s">
        <v>9</v>
      </c>
      <c r="G151" s="7" t="s">
        <v>13</v>
      </c>
      <c r="H151" s="7">
        <f t="shared" si="2"/>
        <v>386</v>
      </c>
      <c r="I151" s="7">
        <v>113</v>
      </c>
      <c r="J151" s="7">
        <v>273</v>
      </c>
      <c r="K151" s="7"/>
      <c r="L151" s="7" t="s">
        <v>14</v>
      </c>
      <c r="M151" s="10"/>
      <c r="N151">
        <v>1</v>
      </c>
      <c r="Q151" s="7"/>
    </row>
    <row r="152" spans="1:17" x14ac:dyDescent="0.35">
      <c r="A152" s="10">
        <v>151</v>
      </c>
      <c r="B152" s="7">
        <v>22</v>
      </c>
      <c r="C152" s="7" t="s">
        <v>211</v>
      </c>
      <c r="D152" s="7" t="s">
        <v>23</v>
      </c>
      <c r="E152" s="7" t="s">
        <v>281</v>
      </c>
      <c r="F152" s="7" t="s">
        <v>281</v>
      </c>
      <c r="G152" s="7" t="s">
        <v>13</v>
      </c>
      <c r="H152" s="7">
        <f t="shared" si="2"/>
        <v>947</v>
      </c>
      <c r="I152" s="7">
        <v>113</v>
      </c>
      <c r="J152" s="7">
        <v>834</v>
      </c>
      <c r="K152" s="7"/>
      <c r="L152" s="7" t="s">
        <v>14</v>
      </c>
      <c r="M152" s="10"/>
      <c r="N152">
        <v>1</v>
      </c>
      <c r="Q152" s="7"/>
    </row>
    <row r="153" spans="1:17" x14ac:dyDescent="0.35">
      <c r="A153" s="10">
        <v>152</v>
      </c>
      <c r="B153" s="7">
        <v>36</v>
      </c>
      <c r="C153" s="7" t="s">
        <v>210</v>
      </c>
      <c r="D153" s="7" t="s">
        <v>21</v>
      </c>
      <c r="E153" s="7" t="s">
        <v>281</v>
      </c>
      <c r="F153" s="7" t="s">
        <v>112</v>
      </c>
      <c r="G153" s="7" t="s">
        <v>13</v>
      </c>
      <c r="H153" s="7">
        <f t="shared" si="2"/>
        <v>343</v>
      </c>
      <c r="I153" s="7">
        <v>87</v>
      </c>
      <c r="J153" s="7">
        <v>256</v>
      </c>
      <c r="K153" s="7"/>
      <c r="L153" s="10" t="s">
        <v>14</v>
      </c>
      <c r="M153" s="7"/>
      <c r="N153">
        <v>1</v>
      </c>
      <c r="Q153" s="7"/>
    </row>
    <row r="154" spans="1:17" x14ac:dyDescent="0.35">
      <c r="A154" s="10">
        <v>153</v>
      </c>
      <c r="B154" s="7">
        <v>137</v>
      </c>
      <c r="C154" s="7" t="s">
        <v>208</v>
      </c>
      <c r="D154" s="7" t="s">
        <v>21</v>
      </c>
      <c r="E154" s="7" t="s">
        <v>281</v>
      </c>
      <c r="F154" s="7" t="s">
        <v>60</v>
      </c>
      <c r="G154" s="7" t="s">
        <v>13</v>
      </c>
      <c r="H154" s="7"/>
      <c r="I154" s="7"/>
      <c r="J154" s="7">
        <v>500</v>
      </c>
      <c r="K154" s="27">
        <v>46201</v>
      </c>
      <c r="L154" s="7" t="s">
        <v>266</v>
      </c>
      <c r="M154" s="7"/>
      <c r="N154">
        <v>1</v>
      </c>
      <c r="Q154" s="7"/>
    </row>
    <row r="155" spans="1:17" x14ac:dyDescent="0.35">
      <c r="A155" s="10">
        <v>154</v>
      </c>
      <c r="B155" s="7">
        <v>53</v>
      </c>
      <c r="C155" s="7" t="s">
        <v>207</v>
      </c>
      <c r="D155" s="7" t="s">
        <v>21</v>
      </c>
      <c r="E155" s="7" t="s">
        <v>281</v>
      </c>
      <c r="F155" s="7" t="s">
        <v>60</v>
      </c>
      <c r="G155" s="7" t="s">
        <v>13</v>
      </c>
      <c r="H155" s="7">
        <f>J155+I155</f>
        <v>593</v>
      </c>
      <c r="I155" s="7">
        <v>66</v>
      </c>
      <c r="J155" s="7">
        <v>527</v>
      </c>
      <c r="K155" s="27"/>
      <c r="L155" s="10" t="s">
        <v>14</v>
      </c>
      <c r="M155" s="7"/>
      <c r="N155">
        <v>1</v>
      </c>
      <c r="Q155" s="7"/>
    </row>
    <row r="156" spans="1:17" x14ac:dyDescent="0.35">
      <c r="A156" s="10">
        <v>155</v>
      </c>
      <c r="B156" s="7">
        <v>29</v>
      </c>
      <c r="C156" s="7" t="s">
        <v>204</v>
      </c>
      <c r="D156" s="7" t="s">
        <v>21</v>
      </c>
      <c r="E156" s="7" t="s">
        <v>281</v>
      </c>
      <c r="F156" s="7" t="s">
        <v>112</v>
      </c>
      <c r="G156" s="7" t="s">
        <v>13</v>
      </c>
      <c r="H156" s="7">
        <f>J156+I156</f>
        <v>561</v>
      </c>
      <c r="I156" s="7">
        <v>103</v>
      </c>
      <c r="J156" s="7">
        <v>458</v>
      </c>
      <c r="K156" s="7"/>
      <c r="L156" s="10" t="s">
        <v>25</v>
      </c>
      <c r="M156" s="7"/>
      <c r="N156">
        <v>1</v>
      </c>
      <c r="Q156" s="7"/>
    </row>
    <row r="157" spans="1:17" x14ac:dyDescent="0.35">
      <c r="A157" s="10">
        <v>156</v>
      </c>
      <c r="B157" s="7">
        <v>276</v>
      </c>
      <c r="C157" s="7" t="s">
        <v>177</v>
      </c>
      <c r="D157" s="7" t="s">
        <v>29</v>
      </c>
      <c r="E157" s="7" t="s">
        <v>281</v>
      </c>
      <c r="F157" s="7" t="s">
        <v>112</v>
      </c>
      <c r="G157" s="7" t="s">
        <v>13</v>
      </c>
      <c r="H157" s="7"/>
      <c r="I157" s="7"/>
      <c r="J157" s="7">
        <v>477</v>
      </c>
      <c r="K157" s="7"/>
      <c r="L157" s="7" t="s">
        <v>14</v>
      </c>
      <c r="M157" s="7"/>
      <c r="N157">
        <v>1</v>
      </c>
      <c r="Q157" s="7"/>
    </row>
    <row r="158" spans="1:17" x14ac:dyDescent="0.35">
      <c r="A158" s="10">
        <v>157</v>
      </c>
      <c r="B158" s="7">
        <v>99</v>
      </c>
      <c r="C158" s="7" t="s">
        <v>200</v>
      </c>
      <c r="D158" s="7" t="s">
        <v>45</v>
      </c>
      <c r="E158" s="7" t="s">
        <v>281</v>
      </c>
      <c r="F158" s="7" t="s">
        <v>112</v>
      </c>
      <c r="G158" s="7" t="s">
        <v>13</v>
      </c>
      <c r="H158" s="7"/>
      <c r="I158" s="7"/>
      <c r="J158" s="7">
        <v>301</v>
      </c>
      <c r="K158" s="7"/>
      <c r="L158" s="7" t="s">
        <v>25</v>
      </c>
      <c r="M158" s="7"/>
      <c r="Q158" s="30"/>
    </row>
    <row r="159" spans="1:17" x14ac:dyDescent="0.35">
      <c r="A159" s="10">
        <v>158</v>
      </c>
      <c r="B159" s="7">
        <v>19</v>
      </c>
      <c r="C159" s="7" t="s">
        <v>365</v>
      </c>
      <c r="D159" s="7" t="s">
        <v>73</v>
      </c>
      <c r="E159" s="7" t="s">
        <v>281</v>
      </c>
      <c r="F159" s="7" t="s">
        <v>60</v>
      </c>
      <c r="G159" s="7" t="s">
        <v>13</v>
      </c>
      <c r="H159" s="7">
        <f>J159+I159</f>
        <v>527</v>
      </c>
      <c r="I159" s="7">
        <v>104</v>
      </c>
      <c r="J159" s="7">
        <v>423</v>
      </c>
      <c r="K159" s="7"/>
      <c r="L159" s="10" t="s">
        <v>25</v>
      </c>
      <c r="M159" s="7"/>
      <c r="N159">
        <v>1</v>
      </c>
      <c r="Q159" s="30"/>
    </row>
    <row r="160" spans="1:17" x14ac:dyDescent="0.35">
      <c r="A160" s="10">
        <v>159</v>
      </c>
      <c r="B160" s="7">
        <v>18</v>
      </c>
      <c r="C160" s="7" t="s">
        <v>161</v>
      </c>
      <c r="D160" s="7" t="s">
        <v>21</v>
      </c>
      <c r="E160" s="7" t="s">
        <v>281</v>
      </c>
      <c r="F160" s="7" t="s">
        <v>60</v>
      </c>
      <c r="G160" s="7" t="s">
        <v>13</v>
      </c>
      <c r="H160" s="7">
        <f>J160+I160</f>
        <v>656</v>
      </c>
      <c r="I160" s="7">
        <v>113</v>
      </c>
      <c r="J160" s="7">
        <v>543</v>
      </c>
      <c r="K160" s="7"/>
      <c r="L160" s="10" t="s">
        <v>25</v>
      </c>
      <c r="M160" s="7"/>
      <c r="N160">
        <v>1</v>
      </c>
      <c r="Q160" s="7"/>
    </row>
    <row r="161" spans="1:17" x14ac:dyDescent="0.35">
      <c r="A161" s="10">
        <v>160</v>
      </c>
      <c r="B161" s="7">
        <v>23</v>
      </c>
      <c r="C161" s="7" t="s">
        <v>198</v>
      </c>
      <c r="D161" s="7" t="s">
        <v>324</v>
      </c>
      <c r="E161" s="7" t="s">
        <v>281</v>
      </c>
      <c r="F161" s="7" t="s">
        <v>60</v>
      </c>
      <c r="G161" s="7" t="s">
        <v>13</v>
      </c>
      <c r="H161" s="7">
        <f>J161+I161</f>
        <v>241</v>
      </c>
      <c r="I161" s="7">
        <v>79</v>
      </c>
      <c r="J161" s="7">
        <v>162</v>
      </c>
      <c r="K161" s="27">
        <v>46203</v>
      </c>
      <c r="L161" s="7" t="s">
        <v>25</v>
      </c>
      <c r="M161" s="10"/>
      <c r="N161">
        <v>1</v>
      </c>
      <c r="Q161" s="7"/>
    </row>
    <row r="162" spans="1:17" x14ac:dyDescent="0.35">
      <c r="A162" s="10">
        <v>161</v>
      </c>
      <c r="B162" s="7">
        <v>1</v>
      </c>
      <c r="C162" s="7" t="s">
        <v>198</v>
      </c>
      <c r="D162" s="7" t="s">
        <v>21</v>
      </c>
      <c r="E162" s="7" t="s">
        <v>281</v>
      </c>
      <c r="F162" s="7" t="s">
        <v>56</v>
      </c>
      <c r="G162" s="7" t="s">
        <v>13</v>
      </c>
      <c r="H162" s="7">
        <f>J162+I162</f>
        <v>915</v>
      </c>
      <c r="I162" s="7">
        <v>125</v>
      </c>
      <c r="J162" s="7">
        <v>790</v>
      </c>
      <c r="K162" s="27">
        <v>46197</v>
      </c>
      <c r="L162" s="10" t="s">
        <v>14</v>
      </c>
      <c r="M162" s="7"/>
      <c r="N162">
        <v>1</v>
      </c>
      <c r="Q162" s="7"/>
    </row>
    <row r="163" spans="1:17" x14ac:dyDescent="0.35">
      <c r="A163" s="10">
        <v>162</v>
      </c>
      <c r="B163" s="7">
        <v>3</v>
      </c>
      <c r="C163" s="7" t="s">
        <v>197</v>
      </c>
      <c r="D163" s="7" t="s">
        <v>46</v>
      </c>
      <c r="E163" s="7" t="s">
        <v>281</v>
      </c>
      <c r="F163" s="7" t="s">
        <v>213</v>
      </c>
      <c r="G163" s="7" t="s">
        <v>13</v>
      </c>
      <c r="H163" s="7">
        <f>J163+I163</f>
        <v>426</v>
      </c>
      <c r="I163" s="7">
        <v>66</v>
      </c>
      <c r="J163" s="7">
        <v>360</v>
      </c>
      <c r="K163" s="7"/>
      <c r="L163" s="10" t="s">
        <v>25</v>
      </c>
      <c r="M163" s="10"/>
      <c r="N163">
        <v>1</v>
      </c>
      <c r="Q163" s="7"/>
    </row>
    <row r="164" spans="1:17" x14ac:dyDescent="0.35">
      <c r="A164" s="10">
        <v>163</v>
      </c>
      <c r="B164" s="7">
        <v>86</v>
      </c>
      <c r="C164" s="7" t="s">
        <v>159</v>
      </c>
      <c r="D164" s="7" t="s">
        <v>45</v>
      </c>
      <c r="E164" s="7" t="s">
        <v>281</v>
      </c>
      <c r="F164" s="7" t="s">
        <v>25</v>
      </c>
      <c r="G164" s="7" t="s">
        <v>13</v>
      </c>
      <c r="H164" s="7"/>
      <c r="I164" s="7"/>
      <c r="J164" s="7">
        <v>500</v>
      </c>
      <c r="K164" s="27">
        <v>46200</v>
      </c>
      <c r="L164" s="10" t="s">
        <v>25</v>
      </c>
      <c r="M164" s="10"/>
      <c r="N164">
        <v>1</v>
      </c>
      <c r="Q164" s="7"/>
    </row>
    <row r="165" spans="1:17" x14ac:dyDescent="0.35">
      <c r="A165" s="10">
        <v>164</v>
      </c>
      <c r="B165" s="7">
        <v>110</v>
      </c>
      <c r="C165" s="7" t="s">
        <v>159</v>
      </c>
      <c r="D165" s="7" t="s">
        <v>75</v>
      </c>
      <c r="E165" s="7" t="s">
        <v>9</v>
      </c>
      <c r="F165" s="7" t="s">
        <v>9</v>
      </c>
      <c r="G165" s="7" t="s">
        <v>13</v>
      </c>
      <c r="H165" s="7">
        <f t="shared" ref="H165:H180" si="3">J165+I165</f>
        <v>370</v>
      </c>
      <c r="I165" s="7">
        <v>85</v>
      </c>
      <c r="J165" s="7">
        <v>285</v>
      </c>
      <c r="K165" s="7"/>
      <c r="L165" s="7" t="s">
        <v>14</v>
      </c>
      <c r="M165" s="7"/>
      <c r="N165">
        <v>1</v>
      </c>
      <c r="Q165" s="7"/>
    </row>
    <row r="166" spans="1:17" x14ac:dyDescent="0.35">
      <c r="A166" s="10">
        <v>165</v>
      </c>
      <c r="B166" s="7">
        <v>9</v>
      </c>
      <c r="C166" s="7" t="s">
        <v>155</v>
      </c>
      <c r="D166" s="7" t="s">
        <v>45</v>
      </c>
      <c r="E166" s="7" t="s">
        <v>9</v>
      </c>
      <c r="F166" s="7" t="s">
        <v>9</v>
      </c>
      <c r="G166" s="7" t="s">
        <v>13</v>
      </c>
      <c r="H166" s="7">
        <f t="shared" si="3"/>
        <v>550</v>
      </c>
      <c r="I166" s="7">
        <v>66</v>
      </c>
      <c r="J166" s="7">
        <v>484</v>
      </c>
      <c r="K166" s="27">
        <v>46199</v>
      </c>
      <c r="L166" s="10" t="s">
        <v>25</v>
      </c>
      <c r="M166" s="7" t="s">
        <v>284</v>
      </c>
      <c r="N166">
        <v>1</v>
      </c>
      <c r="Q166" s="7"/>
    </row>
    <row r="167" spans="1:17" x14ac:dyDescent="0.35">
      <c r="A167" s="10">
        <v>166</v>
      </c>
      <c r="B167" s="7">
        <v>28</v>
      </c>
      <c r="C167" s="7" t="s">
        <v>157</v>
      </c>
      <c r="D167" s="7" t="s">
        <v>53</v>
      </c>
      <c r="E167" s="7" t="s">
        <v>9</v>
      </c>
      <c r="F167" s="7" t="s">
        <v>9</v>
      </c>
      <c r="G167" s="7" t="s">
        <v>13</v>
      </c>
      <c r="H167" s="7">
        <f t="shared" si="3"/>
        <v>954</v>
      </c>
      <c r="I167" s="7">
        <v>125</v>
      </c>
      <c r="J167" s="7">
        <v>829</v>
      </c>
      <c r="K167" s="7"/>
      <c r="L167" s="7" t="s">
        <v>14</v>
      </c>
      <c r="M167" s="10"/>
      <c r="N167">
        <v>1</v>
      </c>
      <c r="Q167" s="7"/>
    </row>
    <row r="168" spans="1:17" x14ac:dyDescent="0.35">
      <c r="A168" s="10">
        <v>167</v>
      </c>
      <c r="B168" s="7">
        <v>5</v>
      </c>
      <c r="C168" s="7" t="s">
        <v>152</v>
      </c>
      <c r="D168" s="7" t="s">
        <v>366</v>
      </c>
      <c r="E168" s="7" t="s">
        <v>9</v>
      </c>
      <c r="F168" s="7" t="s">
        <v>9</v>
      </c>
      <c r="G168" s="7" t="s">
        <v>13</v>
      </c>
      <c r="H168" s="7">
        <f t="shared" si="3"/>
        <v>699</v>
      </c>
      <c r="I168" s="7">
        <v>125</v>
      </c>
      <c r="J168" s="7">
        <v>574</v>
      </c>
      <c r="K168" s="27">
        <v>46201</v>
      </c>
      <c r="L168" s="10" t="s">
        <v>14</v>
      </c>
      <c r="M168" s="10"/>
      <c r="N168">
        <v>1</v>
      </c>
      <c r="Q168" s="7"/>
    </row>
    <row r="169" spans="1:17" x14ac:dyDescent="0.35">
      <c r="A169" s="10">
        <v>168</v>
      </c>
      <c r="B169" s="7">
        <v>8</v>
      </c>
      <c r="C169" s="7" t="s">
        <v>143</v>
      </c>
      <c r="D169" s="7" t="s">
        <v>23</v>
      </c>
      <c r="E169" s="7" t="s">
        <v>9</v>
      </c>
      <c r="F169" s="7" t="s">
        <v>9</v>
      </c>
      <c r="G169" s="7" t="s">
        <v>13</v>
      </c>
      <c r="H169" s="7">
        <f t="shared" si="3"/>
        <v>870</v>
      </c>
      <c r="I169" s="7">
        <v>84</v>
      </c>
      <c r="J169" s="7">
        <v>786</v>
      </c>
      <c r="K169" s="27">
        <v>46201</v>
      </c>
      <c r="L169" s="10" t="s">
        <v>25</v>
      </c>
      <c r="M169" s="7"/>
      <c r="N169">
        <v>1</v>
      </c>
      <c r="Q169" s="7"/>
    </row>
    <row r="170" spans="1:17" x14ac:dyDescent="0.35">
      <c r="A170" s="10">
        <v>169</v>
      </c>
      <c r="B170" s="7">
        <v>7</v>
      </c>
      <c r="C170" s="7" t="s">
        <v>141</v>
      </c>
      <c r="D170" s="7" t="s">
        <v>324</v>
      </c>
      <c r="E170" s="7" t="s">
        <v>9</v>
      </c>
      <c r="F170" s="7" t="s">
        <v>9</v>
      </c>
      <c r="G170" s="7" t="s">
        <v>13</v>
      </c>
      <c r="H170" s="7">
        <f t="shared" si="3"/>
        <v>822</v>
      </c>
      <c r="I170" s="7">
        <v>79</v>
      </c>
      <c r="J170" s="7">
        <v>743</v>
      </c>
      <c r="K170" s="29">
        <v>46200</v>
      </c>
      <c r="L170" s="10" t="s">
        <v>14</v>
      </c>
      <c r="M170" s="10"/>
      <c r="N170">
        <v>1</v>
      </c>
      <c r="Q170" s="7"/>
    </row>
    <row r="171" spans="1:17" x14ac:dyDescent="0.35">
      <c r="A171" s="10">
        <v>170</v>
      </c>
      <c r="B171" s="7">
        <v>17</v>
      </c>
      <c r="C171" s="7" t="s">
        <v>140</v>
      </c>
      <c r="D171" s="7" t="s">
        <v>71</v>
      </c>
      <c r="E171" s="7" t="s">
        <v>9</v>
      </c>
      <c r="F171" s="7" t="s">
        <v>9</v>
      </c>
      <c r="G171" s="7" t="s">
        <v>13</v>
      </c>
      <c r="H171" s="7">
        <f t="shared" si="3"/>
        <v>617</v>
      </c>
      <c r="I171" s="7">
        <v>104</v>
      </c>
      <c r="J171" s="7">
        <v>513</v>
      </c>
      <c r="K171" s="27"/>
      <c r="L171" s="10" t="s">
        <v>25</v>
      </c>
      <c r="M171" s="10"/>
      <c r="N171">
        <v>1</v>
      </c>
      <c r="Q171" s="7"/>
    </row>
    <row r="172" spans="1:17" x14ac:dyDescent="0.35">
      <c r="A172" s="10">
        <v>171</v>
      </c>
      <c r="B172" s="7">
        <v>20</v>
      </c>
      <c r="C172" s="7" t="s">
        <v>140</v>
      </c>
      <c r="D172" s="7" t="s">
        <v>53</v>
      </c>
      <c r="E172" s="7" t="s">
        <v>9</v>
      </c>
      <c r="F172" s="7" t="s">
        <v>9</v>
      </c>
      <c r="G172" s="7" t="s">
        <v>13</v>
      </c>
      <c r="H172" s="7">
        <f t="shared" si="3"/>
        <v>554</v>
      </c>
      <c r="I172" s="7">
        <v>66</v>
      </c>
      <c r="J172" s="7">
        <v>488</v>
      </c>
      <c r="K172" s="27">
        <v>46198</v>
      </c>
      <c r="L172" s="10" t="s">
        <v>14</v>
      </c>
      <c r="M172" s="10"/>
      <c r="N172">
        <v>1</v>
      </c>
      <c r="Q172" s="7"/>
    </row>
    <row r="173" spans="1:17" x14ac:dyDescent="0.35">
      <c r="A173" s="10">
        <v>172</v>
      </c>
      <c r="B173" s="7">
        <v>28</v>
      </c>
      <c r="C173" s="7" t="s">
        <v>367</v>
      </c>
      <c r="D173" s="7" t="s">
        <v>21</v>
      </c>
      <c r="E173" s="7" t="s">
        <v>9</v>
      </c>
      <c r="F173" s="7" t="s">
        <v>9</v>
      </c>
      <c r="G173" s="7" t="s">
        <v>13</v>
      </c>
      <c r="H173" s="7">
        <f t="shared" si="3"/>
        <v>1223</v>
      </c>
      <c r="I173" s="7">
        <v>125</v>
      </c>
      <c r="J173" s="7">
        <v>1098</v>
      </c>
      <c r="K173" s="7"/>
      <c r="L173" s="10" t="s">
        <v>25</v>
      </c>
      <c r="M173" s="7"/>
      <c r="N173">
        <v>1</v>
      </c>
      <c r="Q173" s="7"/>
    </row>
    <row r="174" spans="1:17" x14ac:dyDescent="0.35">
      <c r="A174" s="10">
        <v>173</v>
      </c>
      <c r="B174" s="7">
        <v>32</v>
      </c>
      <c r="C174" s="7" t="s">
        <v>368</v>
      </c>
      <c r="D174" s="7" t="s">
        <v>39</v>
      </c>
      <c r="E174" s="7" t="s">
        <v>9</v>
      </c>
      <c r="F174" s="7" t="s">
        <v>9</v>
      </c>
      <c r="G174" s="7" t="s">
        <v>13</v>
      </c>
      <c r="H174" s="7">
        <f t="shared" si="3"/>
        <v>547</v>
      </c>
      <c r="I174" s="7">
        <v>103</v>
      </c>
      <c r="J174" s="7">
        <v>444</v>
      </c>
      <c r="K174" s="7"/>
      <c r="L174" s="7" t="s">
        <v>25</v>
      </c>
      <c r="M174" s="10"/>
      <c r="N174">
        <v>1</v>
      </c>
      <c r="Q174" s="7"/>
    </row>
    <row r="175" spans="1:17" x14ac:dyDescent="0.35">
      <c r="A175" s="10">
        <v>174</v>
      </c>
      <c r="B175" s="7">
        <v>15</v>
      </c>
      <c r="C175" s="7" t="s">
        <v>369</v>
      </c>
      <c r="D175" s="7" t="s">
        <v>29</v>
      </c>
      <c r="E175" s="7" t="s">
        <v>9</v>
      </c>
      <c r="F175" s="7" t="s">
        <v>9</v>
      </c>
      <c r="G175" s="7" t="s">
        <v>13</v>
      </c>
      <c r="H175" s="7">
        <f t="shared" si="3"/>
        <v>224</v>
      </c>
      <c r="I175" s="7">
        <v>104</v>
      </c>
      <c r="J175" s="7">
        <v>120</v>
      </c>
      <c r="K175" s="29">
        <v>46200</v>
      </c>
      <c r="L175" s="10" t="s">
        <v>25</v>
      </c>
      <c r="M175" s="7"/>
      <c r="N175">
        <v>1</v>
      </c>
      <c r="Q175" s="7"/>
    </row>
    <row r="176" spans="1:17" x14ac:dyDescent="0.35">
      <c r="A176" s="10">
        <v>175</v>
      </c>
      <c r="B176" s="7">
        <v>14</v>
      </c>
      <c r="C176" s="7" t="s">
        <v>344</v>
      </c>
      <c r="D176" s="7" t="s">
        <v>79</v>
      </c>
      <c r="E176" s="7" t="s">
        <v>9</v>
      </c>
      <c r="F176" s="7" t="s">
        <v>193</v>
      </c>
      <c r="G176" s="7" t="s">
        <v>13</v>
      </c>
      <c r="H176" s="7">
        <f t="shared" si="3"/>
        <v>484</v>
      </c>
      <c r="I176" s="7">
        <v>125</v>
      </c>
      <c r="J176" s="7">
        <v>359</v>
      </c>
      <c r="K176" s="27"/>
      <c r="L176" s="10" t="s">
        <v>14</v>
      </c>
      <c r="M176" s="10"/>
      <c r="N176">
        <v>1</v>
      </c>
      <c r="Q176" s="7"/>
    </row>
    <row r="177" spans="1:21" x14ac:dyDescent="0.35">
      <c r="A177" s="10">
        <v>176</v>
      </c>
      <c r="B177" s="7">
        <v>73</v>
      </c>
      <c r="C177" s="7" t="s">
        <v>370</v>
      </c>
      <c r="D177" s="7" t="s">
        <v>45</v>
      </c>
      <c r="E177" s="7" t="s">
        <v>9</v>
      </c>
      <c r="F177" s="7" t="s">
        <v>9</v>
      </c>
      <c r="G177" s="7" t="s">
        <v>13</v>
      </c>
      <c r="H177" s="7">
        <f t="shared" si="3"/>
        <v>1039</v>
      </c>
      <c r="I177" s="7">
        <v>100</v>
      </c>
      <c r="J177" s="7">
        <v>939</v>
      </c>
      <c r="K177" s="27"/>
      <c r="L177" s="7" t="s">
        <v>14</v>
      </c>
      <c r="M177" s="10"/>
      <c r="N177">
        <v>1</v>
      </c>
      <c r="Q177" s="7"/>
    </row>
    <row r="178" spans="1:21" x14ac:dyDescent="0.35">
      <c r="A178" s="10">
        <v>177</v>
      </c>
      <c r="B178" s="7">
        <v>26</v>
      </c>
      <c r="C178" s="7" t="s">
        <v>371</v>
      </c>
      <c r="D178" s="7" t="s">
        <v>37</v>
      </c>
      <c r="E178" s="7" t="s">
        <v>9</v>
      </c>
      <c r="F178" s="7" t="s">
        <v>9</v>
      </c>
      <c r="G178" s="7" t="s">
        <v>13</v>
      </c>
      <c r="H178" s="7">
        <f t="shared" si="3"/>
        <v>278</v>
      </c>
      <c r="I178" s="7">
        <v>113</v>
      </c>
      <c r="J178" s="7">
        <v>165</v>
      </c>
      <c r="K178" s="7"/>
      <c r="L178" s="10" t="s">
        <v>24</v>
      </c>
      <c r="M178" s="10"/>
      <c r="N178">
        <v>1</v>
      </c>
      <c r="Q178" s="7"/>
    </row>
    <row r="179" spans="1:21" x14ac:dyDescent="0.35">
      <c r="A179" s="10">
        <v>178</v>
      </c>
      <c r="B179" s="7">
        <v>42</v>
      </c>
      <c r="C179" s="7" t="s">
        <v>372</v>
      </c>
      <c r="D179" s="7" t="s">
        <v>37</v>
      </c>
      <c r="E179" s="7" t="s">
        <v>9</v>
      </c>
      <c r="F179" s="7" t="s">
        <v>9</v>
      </c>
      <c r="G179" s="7" t="s">
        <v>13</v>
      </c>
      <c r="H179" s="7">
        <f t="shared" si="3"/>
        <v>906</v>
      </c>
      <c r="I179" s="7">
        <v>124</v>
      </c>
      <c r="J179" s="7">
        <v>782</v>
      </c>
      <c r="K179" s="7"/>
      <c r="L179" s="7" t="s">
        <v>25</v>
      </c>
      <c r="M179" s="10"/>
      <c r="N179">
        <v>1</v>
      </c>
      <c r="Q179" s="7"/>
    </row>
    <row r="180" spans="1:21" x14ac:dyDescent="0.35">
      <c r="A180" s="10">
        <v>179</v>
      </c>
      <c r="B180" s="7">
        <v>95</v>
      </c>
      <c r="C180" s="7" t="s">
        <v>373</v>
      </c>
      <c r="D180" s="7" t="s">
        <v>46</v>
      </c>
      <c r="E180" s="7" t="s">
        <v>9</v>
      </c>
      <c r="F180" s="7" t="s">
        <v>9</v>
      </c>
      <c r="G180" s="7" t="s">
        <v>13</v>
      </c>
      <c r="H180" s="7">
        <f t="shared" si="3"/>
        <v>464</v>
      </c>
      <c r="I180" s="7">
        <v>113</v>
      </c>
      <c r="J180" s="7">
        <v>351</v>
      </c>
      <c r="K180" s="7"/>
      <c r="L180" s="10" t="s">
        <v>14</v>
      </c>
      <c r="M180" s="10"/>
      <c r="N180">
        <v>1</v>
      </c>
      <c r="Q180" s="7"/>
    </row>
    <row r="181" spans="1:21" x14ac:dyDescent="0.35">
      <c r="A181" s="10">
        <v>180</v>
      </c>
      <c r="B181" s="7">
        <v>177</v>
      </c>
      <c r="C181" s="7" t="s">
        <v>374</v>
      </c>
      <c r="D181" s="7" t="s">
        <v>39</v>
      </c>
      <c r="E181" s="7" t="s">
        <v>9</v>
      </c>
      <c r="F181" s="7" t="s">
        <v>9</v>
      </c>
      <c r="G181" s="7" t="s">
        <v>13</v>
      </c>
      <c r="H181" s="7"/>
      <c r="I181" s="7"/>
      <c r="J181" s="7">
        <v>559</v>
      </c>
      <c r="K181" s="27"/>
      <c r="L181" s="7" t="s">
        <v>24</v>
      </c>
      <c r="M181" s="10"/>
      <c r="N181">
        <v>1</v>
      </c>
      <c r="Q181" s="7"/>
    </row>
    <row r="182" spans="1:21" x14ac:dyDescent="0.35">
      <c r="A182" s="10">
        <v>181</v>
      </c>
      <c r="B182" s="7">
        <v>172</v>
      </c>
      <c r="C182" s="7" t="s">
        <v>375</v>
      </c>
      <c r="D182" s="7" t="s">
        <v>37</v>
      </c>
      <c r="E182" s="7" t="s">
        <v>9</v>
      </c>
      <c r="F182" s="7" t="s">
        <v>56</v>
      </c>
      <c r="G182" s="7" t="s">
        <v>13</v>
      </c>
      <c r="H182" s="7">
        <f>J182+I182</f>
        <v>377</v>
      </c>
      <c r="I182" s="7">
        <v>79</v>
      </c>
      <c r="J182" s="7">
        <v>298</v>
      </c>
      <c r="K182" s="7"/>
      <c r="L182" s="10" t="s">
        <v>25</v>
      </c>
      <c r="M182" s="7"/>
      <c r="N182">
        <v>1</v>
      </c>
      <c r="Q182" s="7"/>
    </row>
    <row r="183" spans="1:21" x14ac:dyDescent="0.35">
      <c r="A183" s="10">
        <v>182</v>
      </c>
      <c r="B183" s="7">
        <v>113</v>
      </c>
      <c r="C183" s="7" t="s">
        <v>376</v>
      </c>
      <c r="D183" s="7" t="s">
        <v>75</v>
      </c>
      <c r="E183" s="7" t="s">
        <v>9</v>
      </c>
      <c r="F183" s="7" t="s">
        <v>377</v>
      </c>
      <c r="G183" s="7" t="s">
        <v>13</v>
      </c>
      <c r="H183" s="7">
        <f>J183+I183</f>
        <v>520</v>
      </c>
      <c r="I183" s="7">
        <v>113</v>
      </c>
      <c r="J183" s="7">
        <v>407</v>
      </c>
      <c r="K183" s="27"/>
      <c r="L183" s="7" t="s">
        <v>24</v>
      </c>
      <c r="M183" s="10"/>
      <c r="N183">
        <v>1</v>
      </c>
      <c r="Q183" s="7"/>
    </row>
    <row r="184" spans="1:21" x14ac:dyDescent="0.35">
      <c r="A184" s="10">
        <v>183</v>
      </c>
      <c r="B184" s="7">
        <v>78</v>
      </c>
      <c r="C184" s="7" t="s">
        <v>378</v>
      </c>
      <c r="D184" s="7" t="s">
        <v>34</v>
      </c>
      <c r="E184" s="7" t="s">
        <v>9</v>
      </c>
      <c r="F184" s="7" t="s">
        <v>9</v>
      </c>
      <c r="G184" s="7" t="s">
        <v>13</v>
      </c>
      <c r="H184" s="7">
        <f>J184+I184</f>
        <v>619</v>
      </c>
      <c r="I184" s="7">
        <v>66</v>
      </c>
      <c r="J184" s="7">
        <v>553</v>
      </c>
      <c r="K184" s="27"/>
      <c r="L184" s="7" t="s">
        <v>25</v>
      </c>
      <c r="M184" s="10"/>
      <c r="N184">
        <v>1</v>
      </c>
      <c r="Q184" s="16"/>
    </row>
    <row r="185" spans="1:21" x14ac:dyDescent="0.35">
      <c r="A185" s="10">
        <v>184</v>
      </c>
      <c r="B185" s="7">
        <v>87</v>
      </c>
      <c r="C185" s="7" t="s">
        <v>378</v>
      </c>
      <c r="D185" s="7" t="s">
        <v>34</v>
      </c>
      <c r="E185" s="7" t="s">
        <v>9</v>
      </c>
      <c r="F185" s="7" t="s">
        <v>9</v>
      </c>
      <c r="G185" s="7" t="s">
        <v>13</v>
      </c>
      <c r="H185" s="7"/>
      <c r="I185" s="7"/>
      <c r="J185" s="7">
        <v>303</v>
      </c>
      <c r="K185" s="7"/>
      <c r="L185" s="10" t="s">
        <v>14</v>
      </c>
      <c r="M185" s="7"/>
      <c r="N185">
        <v>1</v>
      </c>
      <c r="Q185" s="16"/>
      <c r="T185" s="12" t="s">
        <v>17</v>
      </c>
      <c r="U185" t="s">
        <v>263</v>
      </c>
    </row>
    <row r="186" spans="1:21" x14ac:dyDescent="0.35">
      <c r="A186" s="10">
        <v>185</v>
      </c>
      <c r="B186" s="7">
        <v>179</v>
      </c>
      <c r="C186" s="7" t="s">
        <v>379</v>
      </c>
      <c r="D186" s="7" t="s">
        <v>42</v>
      </c>
      <c r="E186" s="7" t="s">
        <v>9</v>
      </c>
      <c r="F186" s="7" t="s">
        <v>9</v>
      </c>
      <c r="G186" s="7" t="s">
        <v>13</v>
      </c>
      <c r="H186" s="7"/>
      <c r="I186" s="7"/>
      <c r="J186" s="7">
        <v>540</v>
      </c>
      <c r="K186" s="7"/>
      <c r="L186" s="7" t="s">
        <v>14</v>
      </c>
      <c r="M186" s="10"/>
      <c r="N186">
        <v>1</v>
      </c>
      <c r="Q186" s="7"/>
      <c r="T186" s="4" t="s">
        <v>21</v>
      </c>
      <c r="U186">
        <v>18</v>
      </c>
    </row>
    <row r="187" spans="1:21" x14ac:dyDescent="0.35">
      <c r="A187" s="10">
        <v>186</v>
      </c>
      <c r="B187" s="7">
        <v>91</v>
      </c>
      <c r="C187" s="7" t="s">
        <v>380</v>
      </c>
      <c r="D187" s="7" t="s">
        <v>38</v>
      </c>
      <c r="E187" s="7" t="s">
        <v>281</v>
      </c>
      <c r="F187" s="7" t="s">
        <v>193</v>
      </c>
      <c r="G187" s="7" t="s">
        <v>13</v>
      </c>
      <c r="H187" s="7"/>
      <c r="I187" s="7"/>
      <c r="J187" s="7">
        <v>870</v>
      </c>
      <c r="K187" s="7"/>
      <c r="L187" s="10" t="s">
        <v>14</v>
      </c>
      <c r="M187" s="7" t="s">
        <v>381</v>
      </c>
      <c r="N187">
        <v>1</v>
      </c>
      <c r="Q187" s="7"/>
      <c r="T187" s="47" t="s">
        <v>26</v>
      </c>
      <c r="U187">
        <v>18</v>
      </c>
    </row>
    <row r="188" spans="1:21" x14ac:dyDescent="0.35">
      <c r="A188" s="10">
        <v>187</v>
      </c>
      <c r="B188" s="7">
        <v>90</v>
      </c>
      <c r="C188" s="7" t="s">
        <v>382</v>
      </c>
      <c r="D188" s="7" t="s">
        <v>61</v>
      </c>
      <c r="E188" s="7" t="s">
        <v>281</v>
      </c>
      <c r="F188" s="7" t="s">
        <v>193</v>
      </c>
      <c r="G188" s="7" t="s">
        <v>13</v>
      </c>
      <c r="H188" s="7"/>
      <c r="I188" s="7"/>
      <c r="J188" s="7">
        <v>729</v>
      </c>
      <c r="K188" s="7"/>
      <c r="L188" s="7" t="s">
        <v>14</v>
      </c>
      <c r="M188" s="10"/>
      <c r="N188">
        <v>1</v>
      </c>
      <c r="Q188" s="7"/>
      <c r="T188" s="48" t="s">
        <v>281</v>
      </c>
      <c r="U188">
        <v>18</v>
      </c>
    </row>
    <row r="189" spans="1:21" x14ac:dyDescent="0.35">
      <c r="A189" s="10">
        <v>188</v>
      </c>
      <c r="B189" s="7">
        <v>86</v>
      </c>
      <c r="C189" s="7" t="s">
        <v>383</v>
      </c>
      <c r="D189" s="7" t="s">
        <v>42</v>
      </c>
      <c r="E189" s="7" t="s">
        <v>281</v>
      </c>
      <c r="F189" s="7" t="s">
        <v>296</v>
      </c>
      <c r="G189" s="7" t="s">
        <v>13</v>
      </c>
      <c r="H189" s="7"/>
      <c r="I189" s="7"/>
      <c r="J189" s="7">
        <v>279</v>
      </c>
      <c r="K189" s="7"/>
      <c r="L189" s="10" t="s">
        <v>14</v>
      </c>
      <c r="M189" s="7"/>
      <c r="N189">
        <v>1</v>
      </c>
      <c r="Q189" s="7"/>
      <c r="T189" s="4" t="s">
        <v>29</v>
      </c>
      <c r="U189">
        <v>10</v>
      </c>
    </row>
    <row r="190" spans="1:21" x14ac:dyDescent="0.35">
      <c r="A190" s="10">
        <v>189</v>
      </c>
      <c r="B190" s="7">
        <v>74</v>
      </c>
      <c r="C190" s="7" t="s">
        <v>384</v>
      </c>
      <c r="D190" s="7" t="s">
        <v>23</v>
      </c>
      <c r="E190" s="7" t="s">
        <v>281</v>
      </c>
      <c r="F190" s="7" t="s">
        <v>110</v>
      </c>
      <c r="G190" s="7" t="s">
        <v>13</v>
      </c>
      <c r="H190" s="7"/>
      <c r="I190" s="7"/>
      <c r="J190" s="7">
        <v>500</v>
      </c>
      <c r="K190" s="29">
        <v>46200</v>
      </c>
      <c r="L190" s="10" t="s">
        <v>25</v>
      </c>
      <c r="M190" s="10"/>
      <c r="N190">
        <v>1</v>
      </c>
      <c r="Q190" s="7"/>
      <c r="T190" s="47" t="s">
        <v>26</v>
      </c>
      <c r="U190">
        <v>10</v>
      </c>
    </row>
    <row r="191" spans="1:21" x14ac:dyDescent="0.35">
      <c r="A191" s="10">
        <v>190</v>
      </c>
      <c r="B191" s="7">
        <v>76</v>
      </c>
      <c r="C191" s="7" t="s">
        <v>385</v>
      </c>
      <c r="D191" s="7" t="s">
        <v>63</v>
      </c>
      <c r="E191" s="7" t="s">
        <v>281</v>
      </c>
      <c r="F191" s="7" t="s">
        <v>110</v>
      </c>
      <c r="G191" s="7" t="s">
        <v>13</v>
      </c>
      <c r="H191" s="7"/>
      <c r="I191" s="7"/>
      <c r="J191" s="7">
        <v>500</v>
      </c>
      <c r="K191" s="7"/>
      <c r="L191" s="10" t="s">
        <v>25</v>
      </c>
      <c r="M191" s="7"/>
      <c r="N191">
        <v>1</v>
      </c>
      <c r="Q191" s="7"/>
      <c r="T191" s="48" t="s">
        <v>281</v>
      </c>
      <c r="U191">
        <v>10</v>
      </c>
    </row>
    <row r="192" spans="1:21" x14ac:dyDescent="0.35">
      <c r="A192" s="10">
        <v>191</v>
      </c>
      <c r="B192" s="7">
        <v>77</v>
      </c>
      <c r="C192" s="7" t="s">
        <v>386</v>
      </c>
      <c r="D192" s="7" t="s">
        <v>23</v>
      </c>
      <c r="E192" s="7" t="s">
        <v>281</v>
      </c>
      <c r="F192" s="7" t="s">
        <v>131</v>
      </c>
      <c r="G192" s="7" t="s">
        <v>13</v>
      </c>
      <c r="H192" s="7"/>
      <c r="I192" s="7"/>
      <c r="J192" s="7">
        <v>500</v>
      </c>
      <c r="K192" s="7"/>
      <c r="L192" s="10" t="s">
        <v>25</v>
      </c>
      <c r="M192" s="7"/>
      <c r="N192">
        <v>1</v>
      </c>
      <c r="Q192" s="7"/>
      <c r="T192" s="4" t="s">
        <v>34</v>
      </c>
      <c r="U192">
        <v>6</v>
      </c>
    </row>
    <row r="193" spans="1:21" x14ac:dyDescent="0.35">
      <c r="A193" s="10">
        <v>192</v>
      </c>
      <c r="B193" s="7">
        <v>215</v>
      </c>
      <c r="C193" s="7" t="s">
        <v>387</v>
      </c>
      <c r="D193" s="7" t="s">
        <v>29</v>
      </c>
      <c r="E193" s="7" t="s">
        <v>281</v>
      </c>
      <c r="F193" s="7" t="s">
        <v>60</v>
      </c>
      <c r="G193" s="7" t="s">
        <v>13</v>
      </c>
      <c r="H193" s="7"/>
      <c r="I193" s="7"/>
      <c r="J193" s="7">
        <v>500</v>
      </c>
      <c r="K193" s="7"/>
      <c r="L193" s="10" t="s">
        <v>25</v>
      </c>
      <c r="M193" s="10"/>
      <c r="N193">
        <v>1</v>
      </c>
      <c r="Q193" s="7"/>
      <c r="T193" s="47" t="s">
        <v>26</v>
      </c>
      <c r="U193">
        <v>6</v>
      </c>
    </row>
    <row r="194" spans="1:21" x14ac:dyDescent="0.35">
      <c r="A194" s="10">
        <v>193</v>
      </c>
      <c r="B194" s="7">
        <v>216</v>
      </c>
      <c r="C194" s="7" t="s">
        <v>388</v>
      </c>
      <c r="D194" s="7" t="s">
        <v>29</v>
      </c>
      <c r="E194" s="7" t="s">
        <v>281</v>
      </c>
      <c r="F194" s="7" t="s">
        <v>60</v>
      </c>
      <c r="G194" s="7" t="s">
        <v>13</v>
      </c>
      <c r="H194" s="7"/>
      <c r="I194" s="7"/>
      <c r="J194" s="7">
        <v>500</v>
      </c>
      <c r="K194" s="7"/>
      <c r="L194" s="10" t="s">
        <v>25</v>
      </c>
      <c r="M194" s="7"/>
      <c r="N194">
        <v>1</v>
      </c>
      <c r="Q194" s="7"/>
      <c r="T194" s="48" t="s">
        <v>281</v>
      </c>
      <c r="U194">
        <v>6</v>
      </c>
    </row>
    <row r="195" spans="1:21" x14ac:dyDescent="0.35">
      <c r="A195" s="10">
        <v>194</v>
      </c>
      <c r="B195" s="7">
        <v>217</v>
      </c>
      <c r="C195" s="7" t="s">
        <v>238</v>
      </c>
      <c r="D195" s="7" t="s">
        <v>29</v>
      </c>
      <c r="E195" s="7" t="s">
        <v>281</v>
      </c>
      <c r="F195" s="7" t="s">
        <v>112</v>
      </c>
      <c r="G195" s="7" t="s">
        <v>13</v>
      </c>
      <c r="H195" s="7"/>
      <c r="I195" s="7"/>
      <c r="J195" s="7">
        <v>500</v>
      </c>
      <c r="K195" s="27"/>
      <c r="L195" s="7" t="s">
        <v>266</v>
      </c>
      <c r="M195" s="10"/>
      <c r="N195">
        <v>1</v>
      </c>
      <c r="Q195" s="7"/>
      <c r="T195" s="4" t="s">
        <v>45</v>
      </c>
      <c r="U195">
        <v>4</v>
      </c>
    </row>
    <row r="196" spans="1:21" x14ac:dyDescent="0.35">
      <c r="A196" s="10">
        <v>195</v>
      </c>
      <c r="B196" s="7">
        <v>58</v>
      </c>
      <c r="C196" s="7" t="s">
        <v>389</v>
      </c>
      <c r="D196" s="7" t="s">
        <v>21</v>
      </c>
      <c r="E196" s="7" t="s">
        <v>281</v>
      </c>
      <c r="F196" s="7" t="s">
        <v>105</v>
      </c>
      <c r="G196" s="7" t="s">
        <v>13</v>
      </c>
      <c r="H196" s="7"/>
      <c r="I196" s="7"/>
      <c r="J196" s="7">
        <v>500</v>
      </c>
      <c r="K196" s="29">
        <v>46200</v>
      </c>
      <c r="L196" s="7" t="s">
        <v>266</v>
      </c>
      <c r="M196" s="7"/>
      <c r="N196">
        <v>1</v>
      </c>
      <c r="Q196" s="7"/>
      <c r="T196" s="47" t="s">
        <v>26</v>
      </c>
      <c r="U196">
        <v>4</v>
      </c>
    </row>
    <row r="197" spans="1:21" x14ac:dyDescent="0.35">
      <c r="A197" s="10">
        <v>196</v>
      </c>
      <c r="B197" s="7">
        <v>203</v>
      </c>
      <c r="C197" s="7" t="s">
        <v>237</v>
      </c>
      <c r="D197" s="7" t="s">
        <v>21</v>
      </c>
      <c r="E197" s="7" t="s">
        <v>281</v>
      </c>
      <c r="F197" s="7" t="s">
        <v>60</v>
      </c>
      <c r="G197" s="7" t="s">
        <v>13</v>
      </c>
      <c r="H197" s="7"/>
      <c r="I197" s="7"/>
      <c r="J197" s="7">
        <v>320</v>
      </c>
      <c r="K197" s="27"/>
      <c r="L197" s="10" t="s">
        <v>14</v>
      </c>
      <c r="M197" s="41" t="s">
        <v>319</v>
      </c>
      <c r="N197">
        <v>1</v>
      </c>
      <c r="Q197" s="7"/>
      <c r="T197" s="48" t="s">
        <v>281</v>
      </c>
      <c r="U197">
        <v>4</v>
      </c>
    </row>
    <row r="198" spans="1:21" x14ac:dyDescent="0.35">
      <c r="A198" s="10">
        <v>197</v>
      </c>
      <c r="B198" s="7">
        <v>202</v>
      </c>
      <c r="C198" s="7" t="s">
        <v>237</v>
      </c>
      <c r="D198" s="7" t="s">
        <v>21</v>
      </c>
      <c r="E198" s="7" t="s">
        <v>281</v>
      </c>
      <c r="F198" s="7" t="s">
        <v>112</v>
      </c>
      <c r="G198" s="7" t="s">
        <v>13</v>
      </c>
      <c r="H198" s="7"/>
      <c r="I198" s="7"/>
      <c r="J198" s="7">
        <v>357</v>
      </c>
      <c r="K198" s="29">
        <v>46200</v>
      </c>
      <c r="L198" s="7" t="s">
        <v>25</v>
      </c>
      <c r="M198" s="10"/>
      <c r="N198">
        <v>1</v>
      </c>
      <c r="Q198" s="7"/>
      <c r="T198" s="4" t="s">
        <v>23</v>
      </c>
      <c r="U198">
        <v>4</v>
      </c>
    </row>
    <row r="199" spans="1:21" x14ac:dyDescent="0.35">
      <c r="A199" s="10">
        <v>198</v>
      </c>
      <c r="B199" s="7">
        <v>250</v>
      </c>
      <c r="C199" s="7" t="s">
        <v>126</v>
      </c>
      <c r="D199" s="7" t="s">
        <v>23</v>
      </c>
      <c r="E199" s="7" t="s">
        <v>281</v>
      </c>
      <c r="F199" s="7" t="s">
        <v>56</v>
      </c>
      <c r="G199" s="7" t="s">
        <v>13</v>
      </c>
      <c r="H199" s="7"/>
      <c r="I199" s="7"/>
      <c r="J199" s="7">
        <v>500</v>
      </c>
      <c r="K199" s="27">
        <v>46197</v>
      </c>
      <c r="L199" s="10" t="s">
        <v>14</v>
      </c>
      <c r="M199" s="10"/>
      <c r="N199">
        <v>1</v>
      </c>
      <c r="Q199" s="7"/>
      <c r="T199" s="47" t="s">
        <v>26</v>
      </c>
      <c r="U199">
        <v>4</v>
      </c>
    </row>
    <row r="200" spans="1:21" x14ac:dyDescent="0.35">
      <c r="A200" s="10">
        <v>199</v>
      </c>
      <c r="B200" s="7">
        <v>100</v>
      </c>
      <c r="C200" s="7" t="s">
        <v>129</v>
      </c>
      <c r="D200" s="7" t="s">
        <v>53</v>
      </c>
      <c r="E200" s="7" t="s">
        <v>281</v>
      </c>
      <c r="F200" s="7" t="s">
        <v>60</v>
      </c>
      <c r="G200" s="7" t="s">
        <v>13</v>
      </c>
      <c r="H200" s="7"/>
      <c r="I200" s="7"/>
      <c r="J200" s="7">
        <v>500</v>
      </c>
      <c r="K200" s="27">
        <v>46197</v>
      </c>
      <c r="L200" s="10" t="s">
        <v>14</v>
      </c>
      <c r="M200" s="10"/>
      <c r="N200">
        <v>1</v>
      </c>
      <c r="Q200" s="7"/>
      <c r="T200" s="48" t="s">
        <v>281</v>
      </c>
      <c r="U200">
        <v>4</v>
      </c>
    </row>
    <row r="201" spans="1:21" x14ac:dyDescent="0.35">
      <c r="A201" s="10">
        <v>200</v>
      </c>
      <c r="B201" s="7">
        <v>17</v>
      </c>
      <c r="C201" s="7" t="s">
        <v>130</v>
      </c>
      <c r="D201" s="7" t="s">
        <v>53</v>
      </c>
      <c r="E201" s="7" t="s">
        <v>281</v>
      </c>
      <c r="F201" s="7" t="s">
        <v>390</v>
      </c>
      <c r="G201" s="7" t="s">
        <v>13</v>
      </c>
      <c r="H201" s="7"/>
      <c r="I201" s="7"/>
      <c r="J201" s="7">
        <v>500</v>
      </c>
      <c r="K201" s="27">
        <v>46196</v>
      </c>
      <c r="L201" s="7" t="s">
        <v>14</v>
      </c>
      <c r="M201" s="10" t="s">
        <v>391</v>
      </c>
      <c r="N201" s="28">
        <v>1</v>
      </c>
      <c r="Q201" s="7"/>
      <c r="T201" s="4" t="s">
        <v>53</v>
      </c>
      <c r="U201">
        <v>3</v>
      </c>
    </row>
    <row r="202" spans="1:21" x14ac:dyDescent="0.35">
      <c r="A202" s="10">
        <v>201</v>
      </c>
      <c r="B202" s="7">
        <v>162</v>
      </c>
      <c r="C202" s="10" t="s">
        <v>171</v>
      </c>
      <c r="D202" s="7" t="s">
        <v>53</v>
      </c>
      <c r="E202" s="7" t="s">
        <v>281</v>
      </c>
      <c r="F202" s="7" t="s">
        <v>56</v>
      </c>
      <c r="G202" s="7" t="s">
        <v>271</v>
      </c>
      <c r="H202" s="8"/>
      <c r="I202" s="8"/>
      <c r="J202" s="7">
        <v>500</v>
      </c>
      <c r="K202" s="27">
        <v>46198</v>
      </c>
      <c r="L202" s="10" t="s">
        <v>14</v>
      </c>
      <c r="M202" s="10"/>
      <c r="N202">
        <v>1</v>
      </c>
      <c r="Q202" s="7"/>
      <c r="T202" s="47" t="s">
        <v>26</v>
      </c>
      <c r="U202">
        <v>3</v>
      </c>
    </row>
    <row r="203" spans="1:21" x14ac:dyDescent="0.35">
      <c r="A203" s="10">
        <v>202</v>
      </c>
      <c r="B203" s="7">
        <v>33</v>
      </c>
      <c r="C203" s="10" t="s">
        <v>171</v>
      </c>
      <c r="D203" s="7" t="s">
        <v>37</v>
      </c>
      <c r="E203" s="7" t="s">
        <v>281</v>
      </c>
      <c r="F203" s="7" t="s">
        <v>60</v>
      </c>
      <c r="G203" s="7" t="s">
        <v>271</v>
      </c>
      <c r="H203" s="8"/>
      <c r="I203" s="8"/>
      <c r="J203" s="7">
        <v>500</v>
      </c>
      <c r="K203" s="27">
        <v>46198</v>
      </c>
      <c r="L203" s="10" t="s">
        <v>14</v>
      </c>
      <c r="M203" s="10"/>
      <c r="N203" s="28">
        <v>1</v>
      </c>
      <c r="Q203" s="7"/>
      <c r="T203" s="48" t="s">
        <v>281</v>
      </c>
      <c r="U203">
        <v>3</v>
      </c>
    </row>
    <row r="204" spans="1:21" x14ac:dyDescent="0.35">
      <c r="A204" s="10">
        <v>203</v>
      </c>
      <c r="B204" s="7">
        <v>57</v>
      </c>
      <c r="C204" s="10" t="s">
        <v>171</v>
      </c>
      <c r="D204" s="7" t="s">
        <v>45</v>
      </c>
      <c r="E204" s="7" t="s">
        <v>9</v>
      </c>
      <c r="F204" s="7" t="s">
        <v>9</v>
      </c>
      <c r="G204" s="7" t="s">
        <v>271</v>
      </c>
      <c r="H204" s="8"/>
      <c r="I204" s="8"/>
      <c r="J204" s="7">
        <v>500</v>
      </c>
      <c r="K204" s="27">
        <v>46198</v>
      </c>
      <c r="L204" s="10" t="s">
        <v>14</v>
      </c>
      <c r="M204" s="7"/>
      <c r="N204">
        <v>1</v>
      </c>
      <c r="Q204" s="7"/>
      <c r="T204" s="4" t="s">
        <v>37</v>
      </c>
      <c r="U204">
        <v>2</v>
      </c>
    </row>
    <row r="205" spans="1:21" x14ac:dyDescent="0.35">
      <c r="A205" s="10">
        <v>204</v>
      </c>
      <c r="B205" s="7">
        <v>39</v>
      </c>
      <c r="C205" s="10" t="s">
        <v>51</v>
      </c>
      <c r="D205" s="7" t="s">
        <v>58</v>
      </c>
      <c r="E205" s="7" t="s">
        <v>281</v>
      </c>
      <c r="F205" s="7" t="s">
        <v>60</v>
      </c>
      <c r="G205" s="22" t="s">
        <v>32</v>
      </c>
      <c r="H205" s="8"/>
      <c r="I205" s="8"/>
      <c r="J205" s="7">
        <v>500</v>
      </c>
      <c r="K205" s="27">
        <v>46196</v>
      </c>
      <c r="L205" s="10" t="s">
        <v>14</v>
      </c>
      <c r="M205" s="7"/>
      <c r="N205" s="28">
        <v>1</v>
      </c>
      <c r="Q205" s="7"/>
      <c r="T205" s="47" t="s">
        <v>26</v>
      </c>
      <c r="U205">
        <v>2</v>
      </c>
    </row>
    <row r="206" spans="1:21" x14ac:dyDescent="0.35">
      <c r="A206" s="10">
        <v>205</v>
      </c>
      <c r="B206" s="7">
        <v>30</v>
      </c>
      <c r="C206" s="10" t="s">
        <v>171</v>
      </c>
      <c r="D206" s="7" t="s">
        <v>292</v>
      </c>
      <c r="E206" s="7" t="s">
        <v>281</v>
      </c>
      <c r="F206" s="7" t="s">
        <v>60</v>
      </c>
      <c r="G206" s="7" t="s">
        <v>40</v>
      </c>
      <c r="H206" s="8"/>
      <c r="I206" s="8"/>
      <c r="J206" s="7">
        <v>500</v>
      </c>
      <c r="K206" s="27">
        <v>46200</v>
      </c>
      <c r="L206" s="10" t="s">
        <v>14</v>
      </c>
      <c r="M206" s="10"/>
      <c r="N206">
        <v>1</v>
      </c>
      <c r="Q206" s="7"/>
      <c r="T206" s="48" t="s">
        <v>281</v>
      </c>
      <c r="U206">
        <v>2</v>
      </c>
    </row>
    <row r="207" spans="1:21" x14ac:dyDescent="0.35">
      <c r="A207" s="10">
        <v>206</v>
      </c>
      <c r="B207" s="7">
        <v>202</v>
      </c>
      <c r="C207" s="7" t="s">
        <v>171</v>
      </c>
      <c r="D207" s="7" t="s">
        <v>273</v>
      </c>
      <c r="E207" s="7" t="s">
        <v>281</v>
      </c>
      <c r="F207" s="7" t="s">
        <v>112</v>
      </c>
      <c r="G207" s="7" t="s">
        <v>40</v>
      </c>
      <c r="H207" s="7"/>
      <c r="I207" s="7"/>
      <c r="J207" s="7">
        <v>357</v>
      </c>
      <c r="K207" s="27">
        <v>46200</v>
      </c>
      <c r="L207" s="7" t="s">
        <v>25</v>
      </c>
      <c r="M207" s="7" t="s">
        <v>281</v>
      </c>
      <c r="N207">
        <v>1</v>
      </c>
      <c r="O207">
        <v>200</v>
      </c>
      <c r="Q207" s="7"/>
      <c r="T207" s="4" t="s">
        <v>42</v>
      </c>
      <c r="U207">
        <v>2</v>
      </c>
    </row>
    <row r="208" spans="1:21" x14ac:dyDescent="0.35">
      <c r="A208" s="10">
        <v>207</v>
      </c>
      <c r="B208" s="7">
        <v>250</v>
      </c>
      <c r="C208" s="7" t="s">
        <v>171</v>
      </c>
      <c r="D208" s="7" t="s">
        <v>45</v>
      </c>
      <c r="E208" s="7" t="s">
        <v>281</v>
      </c>
      <c r="F208" s="7" t="s">
        <v>56</v>
      </c>
      <c r="G208" s="7" t="s">
        <v>271</v>
      </c>
      <c r="H208" s="7"/>
      <c r="I208" s="7"/>
      <c r="J208" s="19">
        <v>500</v>
      </c>
      <c r="K208" s="27">
        <v>46201</v>
      </c>
      <c r="L208" s="10" t="s">
        <v>14</v>
      </c>
      <c r="M208" s="10"/>
      <c r="N208">
        <v>1</v>
      </c>
      <c r="Q208" s="7"/>
      <c r="T208" s="47" t="s">
        <v>26</v>
      </c>
      <c r="U208">
        <v>2</v>
      </c>
    </row>
    <row r="209" spans="1:21" x14ac:dyDescent="0.35">
      <c r="A209" s="10">
        <v>208</v>
      </c>
      <c r="B209" s="7">
        <v>100</v>
      </c>
      <c r="C209" s="7" t="s">
        <v>171</v>
      </c>
      <c r="D209" s="7" t="s">
        <v>57</v>
      </c>
      <c r="E209" s="7" t="s">
        <v>281</v>
      </c>
      <c r="F209" s="7" t="s">
        <v>60</v>
      </c>
      <c r="G209" s="7" t="s">
        <v>271</v>
      </c>
      <c r="H209" s="7"/>
      <c r="I209" s="7"/>
      <c r="J209" s="19">
        <v>500</v>
      </c>
      <c r="K209" s="27">
        <v>46201</v>
      </c>
      <c r="L209" s="10" t="s">
        <v>14</v>
      </c>
      <c r="M209" s="10"/>
      <c r="N209">
        <v>1</v>
      </c>
      <c r="Q209" s="7"/>
      <c r="T209" s="48" t="s">
        <v>281</v>
      </c>
      <c r="U209">
        <v>2</v>
      </c>
    </row>
    <row r="210" spans="1:21" x14ac:dyDescent="0.35">
      <c r="A210" s="10">
        <v>209</v>
      </c>
      <c r="B210" s="7">
        <v>17</v>
      </c>
      <c r="C210" s="7" t="s">
        <v>171</v>
      </c>
      <c r="D210" s="7" t="s">
        <v>23</v>
      </c>
      <c r="E210" s="7" t="s">
        <v>281</v>
      </c>
      <c r="F210" s="7" t="s">
        <v>390</v>
      </c>
      <c r="G210" s="7" t="s">
        <v>271</v>
      </c>
      <c r="H210" s="7"/>
      <c r="I210" s="7"/>
      <c r="J210" s="19">
        <v>500</v>
      </c>
      <c r="K210" s="27">
        <v>46201</v>
      </c>
      <c r="L210" s="7" t="s">
        <v>14</v>
      </c>
      <c r="M210" s="7"/>
      <c r="N210" s="28">
        <v>1</v>
      </c>
      <c r="O210" s="28"/>
      <c r="Q210" s="7"/>
      <c r="T210" s="4" t="s">
        <v>46</v>
      </c>
      <c r="U210">
        <v>2</v>
      </c>
    </row>
    <row r="211" spans="1:21" x14ac:dyDescent="0.35">
      <c r="A211" s="10">
        <v>210</v>
      </c>
      <c r="B211" s="7">
        <v>162</v>
      </c>
      <c r="C211" s="10" t="s">
        <v>171</v>
      </c>
      <c r="D211" s="7" t="s">
        <v>45</v>
      </c>
      <c r="E211" s="7" t="s">
        <v>281</v>
      </c>
      <c r="F211" s="7" t="s">
        <v>56</v>
      </c>
      <c r="G211" s="7" t="s">
        <v>271</v>
      </c>
      <c r="H211" s="8"/>
      <c r="I211" s="8"/>
      <c r="J211" s="19">
        <v>500</v>
      </c>
      <c r="K211" s="27">
        <v>46201</v>
      </c>
      <c r="L211" s="10" t="s">
        <v>14</v>
      </c>
      <c r="M211" s="10" t="s">
        <v>392</v>
      </c>
      <c r="N211">
        <v>1</v>
      </c>
      <c r="Q211" s="7"/>
      <c r="T211" s="47" t="s">
        <v>26</v>
      </c>
      <c r="U211">
        <v>2</v>
      </c>
    </row>
    <row r="212" spans="1:21" x14ac:dyDescent="0.35">
      <c r="A212" s="10">
        <v>211</v>
      </c>
      <c r="B212" s="37">
        <v>33</v>
      </c>
      <c r="C212" s="36" t="s">
        <v>171</v>
      </c>
      <c r="D212" s="37" t="s">
        <v>393</v>
      </c>
      <c r="E212" s="37" t="s">
        <v>281</v>
      </c>
      <c r="F212" s="37" t="s">
        <v>60</v>
      </c>
      <c r="G212" s="37" t="s">
        <v>271</v>
      </c>
      <c r="H212" s="38"/>
      <c r="I212" s="38"/>
      <c r="J212" s="19">
        <v>500</v>
      </c>
      <c r="K212" s="35">
        <v>46201</v>
      </c>
      <c r="L212" s="36" t="s">
        <v>14</v>
      </c>
      <c r="M212" s="36"/>
      <c r="N212" s="28">
        <v>1</v>
      </c>
      <c r="Q212" s="7"/>
      <c r="T212" s="48" t="s">
        <v>281</v>
      </c>
      <c r="U212">
        <v>2</v>
      </c>
    </row>
    <row r="213" spans="1:21" x14ac:dyDescent="0.35">
      <c r="A213" s="10">
        <v>212</v>
      </c>
      <c r="B213" s="7">
        <v>57</v>
      </c>
      <c r="C213" s="10" t="s">
        <v>171</v>
      </c>
      <c r="D213" s="7" t="s">
        <v>39</v>
      </c>
      <c r="E213" s="7" t="s">
        <v>9</v>
      </c>
      <c r="F213" s="7" t="s">
        <v>9</v>
      </c>
      <c r="G213" s="7" t="s">
        <v>271</v>
      </c>
      <c r="H213" s="8"/>
      <c r="I213" s="8"/>
      <c r="J213" s="19">
        <v>500</v>
      </c>
      <c r="K213" s="27">
        <v>46202</v>
      </c>
      <c r="L213" s="10" t="s">
        <v>14</v>
      </c>
      <c r="M213" s="10"/>
      <c r="N213">
        <v>1</v>
      </c>
      <c r="Q213" s="7"/>
      <c r="T213" s="4" t="s">
        <v>12</v>
      </c>
      <c r="U213">
        <v>2</v>
      </c>
    </row>
    <row r="214" spans="1:21" x14ac:dyDescent="0.35">
      <c r="A214" s="10">
        <v>213</v>
      </c>
      <c r="B214" s="7">
        <v>39</v>
      </c>
      <c r="C214" s="10" t="s">
        <v>171</v>
      </c>
      <c r="D214" s="7" t="s">
        <v>37</v>
      </c>
      <c r="E214" s="7" t="s">
        <v>281</v>
      </c>
      <c r="F214" s="7" t="s">
        <v>60</v>
      </c>
      <c r="G214" s="7" t="s">
        <v>271</v>
      </c>
      <c r="H214" s="8"/>
      <c r="I214" s="8"/>
      <c r="J214" s="19">
        <v>500</v>
      </c>
      <c r="K214" s="27">
        <v>46202</v>
      </c>
      <c r="L214" s="10" t="s">
        <v>14</v>
      </c>
      <c r="M214" s="10" t="s">
        <v>281</v>
      </c>
      <c r="N214" s="28">
        <v>1</v>
      </c>
      <c r="Q214" s="7"/>
      <c r="T214" s="47" t="s">
        <v>26</v>
      </c>
      <c r="U214">
        <v>2</v>
      </c>
    </row>
    <row r="215" spans="1:21" x14ac:dyDescent="0.35">
      <c r="A215" s="10">
        <v>214</v>
      </c>
      <c r="B215" s="7">
        <v>30</v>
      </c>
      <c r="C215" s="10" t="s">
        <v>171</v>
      </c>
      <c r="D215" s="7" t="s">
        <v>53</v>
      </c>
      <c r="E215" s="7" t="s">
        <v>281</v>
      </c>
      <c r="F215" s="7" t="s">
        <v>60</v>
      </c>
      <c r="G215" s="7" t="s">
        <v>271</v>
      </c>
      <c r="H215" s="8"/>
      <c r="I215" s="8"/>
      <c r="J215" s="19">
        <v>500</v>
      </c>
      <c r="K215" s="27">
        <v>46202</v>
      </c>
      <c r="L215" s="10" t="s">
        <v>14</v>
      </c>
      <c r="M215" s="10"/>
      <c r="N215">
        <v>1</v>
      </c>
      <c r="Q215" s="7"/>
      <c r="T215" s="48" t="s">
        <v>281</v>
      </c>
      <c r="U215">
        <v>2</v>
      </c>
    </row>
    <row r="216" spans="1:21" x14ac:dyDescent="0.35">
      <c r="Q216" s="7"/>
      <c r="T216" s="4" t="s">
        <v>292</v>
      </c>
      <c r="U216">
        <v>2</v>
      </c>
    </row>
    <row r="217" spans="1:21" x14ac:dyDescent="0.35">
      <c r="T217" s="47" t="s">
        <v>26</v>
      </c>
      <c r="U217">
        <v>2</v>
      </c>
    </row>
    <row r="218" spans="1:21" x14ac:dyDescent="0.35">
      <c r="T218" s="48" t="s">
        <v>281</v>
      </c>
      <c r="U218">
        <v>2</v>
      </c>
    </row>
    <row r="219" spans="1:21" x14ac:dyDescent="0.35">
      <c r="T219" s="4" t="s">
        <v>35</v>
      </c>
      <c r="U219">
        <v>1</v>
      </c>
    </row>
    <row r="220" spans="1:21" x14ac:dyDescent="0.35">
      <c r="T220" s="47" t="s">
        <v>26</v>
      </c>
      <c r="U220">
        <v>1</v>
      </c>
    </row>
    <row r="221" spans="1:21" x14ac:dyDescent="0.35">
      <c r="T221" s="48" t="s">
        <v>281</v>
      </c>
      <c r="U221">
        <v>1</v>
      </c>
    </row>
    <row r="222" spans="1:21" x14ac:dyDescent="0.35">
      <c r="T222" s="4" t="s">
        <v>75</v>
      </c>
      <c r="U222">
        <v>1</v>
      </c>
    </row>
    <row r="223" spans="1:21" x14ac:dyDescent="0.35">
      <c r="T223" s="47" t="s">
        <v>26</v>
      </c>
      <c r="U223">
        <v>1</v>
      </c>
    </row>
    <row r="224" spans="1:21" x14ac:dyDescent="0.35">
      <c r="T224" s="48" t="s">
        <v>281</v>
      </c>
      <c r="U224">
        <v>1</v>
      </c>
    </row>
    <row r="225" spans="20:21" x14ac:dyDescent="0.35">
      <c r="T225" s="4" t="s">
        <v>73</v>
      </c>
      <c r="U225">
        <v>1</v>
      </c>
    </row>
    <row r="226" spans="20:21" x14ac:dyDescent="0.35">
      <c r="T226" s="47" t="s">
        <v>26</v>
      </c>
      <c r="U226">
        <v>1</v>
      </c>
    </row>
    <row r="227" spans="20:21" x14ac:dyDescent="0.35">
      <c r="T227" s="48" t="s">
        <v>281</v>
      </c>
      <c r="U227">
        <v>1</v>
      </c>
    </row>
    <row r="228" spans="20:21" x14ac:dyDescent="0.35">
      <c r="T228" s="4" t="s">
        <v>324</v>
      </c>
      <c r="U228">
        <v>1</v>
      </c>
    </row>
    <row r="229" spans="20:21" x14ac:dyDescent="0.35">
      <c r="T229" s="47" t="s">
        <v>26</v>
      </c>
      <c r="U229">
        <v>1</v>
      </c>
    </row>
    <row r="230" spans="20:21" x14ac:dyDescent="0.35">
      <c r="T230" s="48" t="s">
        <v>281</v>
      </c>
      <c r="U230">
        <v>1</v>
      </c>
    </row>
    <row r="231" spans="20:21" x14ac:dyDescent="0.35">
      <c r="T231" s="4" t="s">
        <v>54</v>
      </c>
      <c r="U231">
        <v>1</v>
      </c>
    </row>
    <row r="232" spans="20:21" x14ac:dyDescent="0.35">
      <c r="T232" s="47" t="s">
        <v>26</v>
      </c>
      <c r="U232">
        <v>1</v>
      </c>
    </row>
    <row r="233" spans="20:21" x14ac:dyDescent="0.35">
      <c r="T233" s="48" t="s">
        <v>281</v>
      </c>
      <c r="U233">
        <v>1</v>
      </c>
    </row>
    <row r="234" spans="20:21" x14ac:dyDescent="0.35">
      <c r="T234" s="4" t="s">
        <v>63</v>
      </c>
      <c r="U234">
        <v>1</v>
      </c>
    </row>
    <row r="235" spans="20:21" x14ac:dyDescent="0.35">
      <c r="T235" s="47" t="s">
        <v>26</v>
      </c>
      <c r="U235">
        <v>1</v>
      </c>
    </row>
    <row r="236" spans="20:21" x14ac:dyDescent="0.35">
      <c r="T236" s="48" t="s">
        <v>281</v>
      </c>
      <c r="U236">
        <v>1</v>
      </c>
    </row>
    <row r="237" spans="20:21" x14ac:dyDescent="0.35">
      <c r="T237" s="4" t="s">
        <v>38</v>
      </c>
      <c r="U237">
        <v>1</v>
      </c>
    </row>
    <row r="238" spans="20:21" x14ac:dyDescent="0.35">
      <c r="T238" s="47" t="s">
        <v>26</v>
      </c>
      <c r="U238">
        <v>1</v>
      </c>
    </row>
    <row r="239" spans="20:21" x14ac:dyDescent="0.35">
      <c r="T239" s="48" t="s">
        <v>281</v>
      </c>
      <c r="U239">
        <v>1</v>
      </c>
    </row>
    <row r="240" spans="20:21" x14ac:dyDescent="0.35">
      <c r="T240" s="4" t="s">
        <v>61</v>
      </c>
      <c r="U240">
        <v>1</v>
      </c>
    </row>
    <row r="241" spans="20:21" x14ac:dyDescent="0.35">
      <c r="T241" s="47" t="s">
        <v>26</v>
      </c>
      <c r="U241">
        <v>1</v>
      </c>
    </row>
    <row r="242" spans="20:21" x14ac:dyDescent="0.35">
      <c r="T242" s="48" t="s">
        <v>281</v>
      </c>
      <c r="U242">
        <v>1</v>
      </c>
    </row>
    <row r="243" spans="20:21" x14ac:dyDescent="0.35">
      <c r="T243" s="4" t="s">
        <v>20</v>
      </c>
      <c r="U243">
        <v>63</v>
      </c>
    </row>
  </sheetData>
  <autoFilter ref="A1:Q215" xr:uid="{018C71AD-29C0-4168-B6F6-6617C020CFE9}"/>
  <sortState xmlns:xlrd2="http://schemas.microsoft.com/office/spreadsheetml/2017/richdata2" ref="A2:Q215">
    <sortCondition ref="A2:A215"/>
  </sortState>
  <pageMargins left="0.7" right="0.7" top="0.75" bottom="0.75" header="0.3" footer="0.3"/>
  <pageSetup paperSize="9" scale="44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1564-FC41-41C0-8D7C-E3F5024FB8BA}">
  <dimension ref="A2:AD56"/>
  <sheetViews>
    <sheetView topLeftCell="A14" workbookViewId="0">
      <selection activeCell="C28" sqref="C28"/>
    </sheetView>
  </sheetViews>
  <sheetFormatPr defaultRowHeight="14.5" x14ac:dyDescent="0.35"/>
  <cols>
    <col min="1" max="1" width="16.7265625" bestFit="1" customWidth="1"/>
    <col min="2" max="2" width="15.7265625" bestFit="1" customWidth="1"/>
    <col min="3" max="3" width="12.26953125" bestFit="1" customWidth="1"/>
    <col min="4" max="6" width="10.54296875" bestFit="1" customWidth="1"/>
    <col min="8" max="9" width="12.453125" bestFit="1" customWidth="1"/>
    <col min="10" max="10" width="15.54296875" bestFit="1" customWidth="1"/>
    <col min="11" max="11" width="6.7265625" bestFit="1" customWidth="1"/>
    <col min="12" max="12" width="7" bestFit="1" customWidth="1"/>
    <col min="13" max="14" width="10.54296875" bestFit="1" customWidth="1"/>
    <col min="16" max="16" width="12.453125" bestFit="1" customWidth="1"/>
    <col min="17" max="17" width="15.7265625" bestFit="1" customWidth="1"/>
    <col min="18" max="18" width="10.26953125" bestFit="1" customWidth="1"/>
    <col min="19" max="19" width="7" bestFit="1" customWidth="1"/>
    <col min="20" max="20" width="10.54296875" bestFit="1" customWidth="1"/>
    <col min="21" max="21" width="12.453125" bestFit="1" customWidth="1"/>
    <col min="22" max="22" width="15.7265625" bestFit="1" customWidth="1"/>
    <col min="23" max="23" width="6.54296875" bestFit="1" customWidth="1"/>
    <col min="24" max="24" width="6.7265625" bestFit="1" customWidth="1"/>
    <col min="25" max="25" width="10.26953125" bestFit="1" customWidth="1"/>
    <col min="26" max="26" width="10.54296875" bestFit="1" customWidth="1"/>
    <col min="27" max="27" width="12.453125" bestFit="1" customWidth="1"/>
    <col min="28" max="28" width="11.81640625" bestFit="1" customWidth="1"/>
    <col min="29" max="29" width="12.453125" bestFit="1" customWidth="1"/>
    <col min="30" max="30" width="16.453125" bestFit="1" customWidth="1"/>
    <col min="31" max="31" width="17" bestFit="1" customWidth="1"/>
  </cols>
  <sheetData>
    <row r="2" spans="1:25" x14ac:dyDescent="0.35">
      <c r="A2" s="12" t="s">
        <v>6</v>
      </c>
      <c r="B2" t="s">
        <v>26</v>
      </c>
    </row>
    <row r="3" spans="1:25" x14ac:dyDescent="0.35">
      <c r="A3" s="12" t="s">
        <v>394</v>
      </c>
      <c r="B3" t="s">
        <v>395</v>
      </c>
      <c r="Q3" s="12" t="s">
        <v>16</v>
      </c>
      <c r="V3" s="12" t="s">
        <v>16</v>
      </c>
    </row>
    <row r="4" spans="1:25" x14ac:dyDescent="0.35">
      <c r="P4" s="12" t="s">
        <v>17</v>
      </c>
      <c r="Q4" t="s">
        <v>281</v>
      </c>
      <c r="R4" t="s">
        <v>20</v>
      </c>
      <c r="U4" s="12" t="s">
        <v>17</v>
      </c>
      <c r="V4" t="s">
        <v>281</v>
      </c>
      <c r="W4" t="s">
        <v>9</v>
      </c>
      <c r="X4" t="s">
        <v>26</v>
      </c>
      <c r="Y4" t="s">
        <v>20</v>
      </c>
    </row>
    <row r="5" spans="1:25" x14ac:dyDescent="0.35">
      <c r="A5" s="12" t="s">
        <v>17</v>
      </c>
      <c r="B5" t="s">
        <v>15</v>
      </c>
      <c r="C5" t="s">
        <v>396</v>
      </c>
      <c r="P5" s="4" t="s">
        <v>31</v>
      </c>
      <c r="U5" s="4" t="s">
        <v>30</v>
      </c>
    </row>
    <row r="6" spans="1:25" x14ac:dyDescent="0.35">
      <c r="A6" s="4" t="s">
        <v>21</v>
      </c>
      <c r="B6">
        <v>27</v>
      </c>
      <c r="C6">
        <v>14293</v>
      </c>
      <c r="P6" s="4" t="s">
        <v>12</v>
      </c>
      <c r="U6" s="4" t="s">
        <v>31</v>
      </c>
    </row>
    <row r="7" spans="1:25" x14ac:dyDescent="0.35">
      <c r="A7" s="4" t="s">
        <v>29</v>
      </c>
      <c r="B7">
        <v>18</v>
      </c>
      <c r="C7">
        <v>8956</v>
      </c>
      <c r="P7" s="4" t="s">
        <v>61</v>
      </c>
      <c r="U7" s="4" t="s">
        <v>12</v>
      </c>
    </row>
    <row r="8" spans="1:25" x14ac:dyDescent="0.35">
      <c r="A8" s="4" t="s">
        <v>20</v>
      </c>
      <c r="B8">
        <v>45</v>
      </c>
      <c r="C8">
        <v>23249</v>
      </c>
      <c r="P8" s="4" t="s">
        <v>63</v>
      </c>
      <c r="U8" s="4" t="s">
        <v>61</v>
      </c>
    </row>
    <row r="9" spans="1:25" x14ac:dyDescent="0.35">
      <c r="P9" s="4" t="s">
        <v>42</v>
      </c>
      <c r="U9" s="4" t="s">
        <v>63</v>
      </c>
    </row>
    <row r="10" spans="1:25" x14ac:dyDescent="0.35">
      <c r="A10" s="4"/>
      <c r="P10" s="4" t="s">
        <v>71</v>
      </c>
      <c r="U10" s="4" t="s">
        <v>42</v>
      </c>
    </row>
    <row r="11" spans="1:25" x14ac:dyDescent="0.35">
      <c r="A11" s="4"/>
      <c r="P11" s="4" t="s">
        <v>273</v>
      </c>
      <c r="U11" s="4" t="s">
        <v>71</v>
      </c>
    </row>
    <row r="12" spans="1:25" x14ac:dyDescent="0.35">
      <c r="A12" s="4"/>
      <c r="P12" s="4" t="s">
        <v>75</v>
      </c>
      <c r="U12" s="4" t="s">
        <v>39</v>
      </c>
    </row>
    <row r="13" spans="1:25" x14ac:dyDescent="0.35">
      <c r="A13" s="4"/>
      <c r="P13" s="4" t="s">
        <v>35</v>
      </c>
      <c r="U13" s="4" t="s">
        <v>273</v>
      </c>
    </row>
    <row r="14" spans="1:25" x14ac:dyDescent="0.35">
      <c r="A14" s="12" t="s">
        <v>6</v>
      </c>
      <c r="B14" t="s">
        <v>26</v>
      </c>
      <c r="P14" s="4" t="s">
        <v>38</v>
      </c>
      <c r="U14" s="4" t="s">
        <v>75</v>
      </c>
    </row>
    <row r="15" spans="1:25" x14ac:dyDescent="0.35">
      <c r="A15" s="12" t="s">
        <v>3</v>
      </c>
      <c r="B15" t="s">
        <v>281</v>
      </c>
      <c r="P15" s="4" t="s">
        <v>37</v>
      </c>
      <c r="U15" s="4" t="s">
        <v>35</v>
      </c>
    </row>
    <row r="16" spans="1:25" x14ac:dyDescent="0.35">
      <c r="A16" s="12" t="s">
        <v>394</v>
      </c>
      <c r="B16" t="s">
        <v>395</v>
      </c>
      <c r="P16" s="4" t="s">
        <v>23</v>
      </c>
      <c r="U16" s="4" t="s">
        <v>38</v>
      </c>
    </row>
    <row r="17" spans="1:21" x14ac:dyDescent="0.35">
      <c r="P17" s="4" t="s">
        <v>364</v>
      </c>
      <c r="U17" s="4" t="s">
        <v>37</v>
      </c>
    </row>
    <row r="18" spans="1:21" x14ac:dyDescent="0.35">
      <c r="A18" s="12" t="s">
        <v>17</v>
      </c>
      <c r="B18" t="s">
        <v>15</v>
      </c>
      <c r="C18" t="s">
        <v>396</v>
      </c>
      <c r="P18" s="4" t="s">
        <v>292</v>
      </c>
      <c r="U18" s="4" t="s">
        <v>23</v>
      </c>
    </row>
    <row r="19" spans="1:21" x14ac:dyDescent="0.35">
      <c r="A19" s="4" t="s">
        <v>12</v>
      </c>
      <c r="B19">
        <v>3</v>
      </c>
      <c r="C19">
        <v>1367</v>
      </c>
      <c r="P19" s="4" t="s">
        <v>46</v>
      </c>
      <c r="U19" s="4" t="s">
        <v>364</v>
      </c>
    </row>
    <row r="20" spans="1:21" x14ac:dyDescent="0.35">
      <c r="A20" s="4" t="s">
        <v>61</v>
      </c>
      <c r="B20">
        <v>1</v>
      </c>
      <c r="C20">
        <v>729</v>
      </c>
      <c r="P20" s="4" t="s">
        <v>21</v>
      </c>
      <c r="U20" s="4" t="s">
        <v>318</v>
      </c>
    </row>
    <row r="21" spans="1:21" x14ac:dyDescent="0.35">
      <c r="A21" s="4" t="s">
        <v>63</v>
      </c>
      <c r="B21">
        <v>1</v>
      </c>
      <c r="C21">
        <v>500</v>
      </c>
      <c r="P21" s="4" t="s">
        <v>48</v>
      </c>
      <c r="U21" s="4" t="s">
        <v>292</v>
      </c>
    </row>
    <row r="22" spans="1:21" x14ac:dyDescent="0.35">
      <c r="A22" s="4" t="s">
        <v>42</v>
      </c>
      <c r="B22">
        <v>2</v>
      </c>
      <c r="C22">
        <v>607</v>
      </c>
      <c r="P22" s="4" t="s">
        <v>324</v>
      </c>
      <c r="U22" s="4" t="s">
        <v>46</v>
      </c>
    </row>
    <row r="23" spans="1:21" x14ac:dyDescent="0.35">
      <c r="A23" s="4" t="s">
        <v>75</v>
      </c>
      <c r="B23">
        <v>1</v>
      </c>
      <c r="C23">
        <v>490</v>
      </c>
      <c r="P23" s="4" t="s">
        <v>29</v>
      </c>
      <c r="U23" s="4" t="s">
        <v>21</v>
      </c>
    </row>
    <row r="24" spans="1:21" x14ac:dyDescent="0.35">
      <c r="A24" s="4" t="s">
        <v>35</v>
      </c>
      <c r="B24">
        <v>1</v>
      </c>
      <c r="C24">
        <v>500</v>
      </c>
      <c r="P24" s="4" t="s">
        <v>45</v>
      </c>
      <c r="U24" s="4" t="s">
        <v>79</v>
      </c>
    </row>
    <row r="25" spans="1:21" x14ac:dyDescent="0.35">
      <c r="A25" s="4" t="s">
        <v>37</v>
      </c>
      <c r="B25">
        <v>2</v>
      </c>
      <c r="C25">
        <v>533</v>
      </c>
      <c r="F25" s="4"/>
      <c r="P25" s="4" t="s">
        <v>295</v>
      </c>
      <c r="U25" s="4" t="s">
        <v>48</v>
      </c>
    </row>
    <row r="26" spans="1:21" x14ac:dyDescent="0.35">
      <c r="A26" s="4" t="s">
        <v>23</v>
      </c>
      <c r="B26">
        <v>4</v>
      </c>
      <c r="C26">
        <v>2651</v>
      </c>
      <c r="F26" s="4"/>
      <c r="P26" s="4" t="s">
        <v>73</v>
      </c>
      <c r="U26" s="4" t="s">
        <v>324</v>
      </c>
    </row>
    <row r="27" spans="1:21" x14ac:dyDescent="0.35">
      <c r="A27" s="4" t="s">
        <v>292</v>
      </c>
      <c r="B27">
        <v>2</v>
      </c>
      <c r="C27">
        <v>791</v>
      </c>
      <c r="F27" s="40"/>
      <c r="G27" s="39"/>
      <c r="H27" s="39"/>
      <c r="I27" s="39"/>
      <c r="P27" s="4" t="s">
        <v>53</v>
      </c>
      <c r="U27" s="4" t="s">
        <v>316</v>
      </c>
    </row>
    <row r="28" spans="1:21" x14ac:dyDescent="0.35">
      <c r="A28" s="4" t="s">
        <v>46</v>
      </c>
      <c r="B28">
        <v>2</v>
      </c>
      <c r="C28">
        <v>542</v>
      </c>
      <c r="P28" s="4" t="s">
        <v>54</v>
      </c>
      <c r="U28" s="4" t="s">
        <v>361</v>
      </c>
    </row>
    <row r="29" spans="1:21" x14ac:dyDescent="0.35">
      <c r="A29" s="4" t="s">
        <v>324</v>
      </c>
      <c r="B29">
        <v>1</v>
      </c>
      <c r="C29">
        <v>500</v>
      </c>
      <c r="P29" s="4" t="s">
        <v>58</v>
      </c>
      <c r="U29" s="4" t="s">
        <v>29</v>
      </c>
    </row>
    <row r="30" spans="1:21" x14ac:dyDescent="0.35">
      <c r="A30" s="4" t="s">
        <v>45</v>
      </c>
      <c r="B30">
        <v>5</v>
      </c>
      <c r="C30">
        <v>2193</v>
      </c>
      <c r="P30" s="4" t="s">
        <v>34</v>
      </c>
      <c r="U30" s="4" t="s">
        <v>289</v>
      </c>
    </row>
    <row r="31" spans="1:21" x14ac:dyDescent="0.35">
      <c r="A31" s="4" t="s">
        <v>73</v>
      </c>
      <c r="B31">
        <v>1</v>
      </c>
      <c r="C31">
        <v>423</v>
      </c>
      <c r="P31" s="4" t="s">
        <v>57</v>
      </c>
      <c r="U31" s="4" t="s">
        <v>90</v>
      </c>
    </row>
    <row r="32" spans="1:21" x14ac:dyDescent="0.35">
      <c r="A32" s="4" t="s">
        <v>53</v>
      </c>
      <c r="B32">
        <v>3</v>
      </c>
      <c r="C32">
        <v>1414</v>
      </c>
      <c r="P32" s="4" t="s">
        <v>393</v>
      </c>
      <c r="U32" s="4" t="s">
        <v>45</v>
      </c>
    </row>
    <row r="33" spans="1:21" x14ac:dyDescent="0.35">
      <c r="A33" s="4" t="s">
        <v>54</v>
      </c>
      <c r="B33">
        <v>1</v>
      </c>
      <c r="C33">
        <v>350</v>
      </c>
      <c r="P33" s="4" t="s">
        <v>20</v>
      </c>
      <c r="U33" s="4" t="s">
        <v>295</v>
      </c>
    </row>
    <row r="34" spans="1:21" x14ac:dyDescent="0.35">
      <c r="A34" s="4" t="s">
        <v>34</v>
      </c>
      <c r="B34">
        <v>6</v>
      </c>
      <c r="C34">
        <v>2320</v>
      </c>
      <c r="U34" s="4" t="s">
        <v>73</v>
      </c>
    </row>
    <row r="35" spans="1:21" x14ac:dyDescent="0.35">
      <c r="A35" s="4" t="s">
        <v>20</v>
      </c>
      <c r="B35">
        <v>36</v>
      </c>
      <c r="C35">
        <v>15910</v>
      </c>
      <c r="U35" s="4" t="s">
        <v>53</v>
      </c>
    </row>
    <row r="36" spans="1:21" x14ac:dyDescent="0.35">
      <c r="U36" s="4" t="s">
        <v>54</v>
      </c>
    </row>
    <row r="37" spans="1:21" x14ac:dyDescent="0.35">
      <c r="U37" s="4" t="s">
        <v>58</v>
      </c>
    </row>
    <row r="38" spans="1:21" x14ac:dyDescent="0.35">
      <c r="U38" s="4" t="s">
        <v>34</v>
      </c>
    </row>
    <row r="39" spans="1:21" x14ac:dyDescent="0.35">
      <c r="U39" s="4" t="s">
        <v>26</v>
      </c>
    </row>
    <row r="40" spans="1:21" x14ac:dyDescent="0.35">
      <c r="U40" s="4" t="s">
        <v>366</v>
      </c>
    </row>
    <row r="41" spans="1:21" x14ac:dyDescent="0.35">
      <c r="U41" s="4" t="s">
        <v>57</v>
      </c>
    </row>
    <row r="42" spans="1:21" x14ac:dyDescent="0.35">
      <c r="U42" s="4" t="s">
        <v>393</v>
      </c>
    </row>
    <row r="43" spans="1:21" x14ac:dyDescent="0.35">
      <c r="U43" s="4" t="s">
        <v>20</v>
      </c>
    </row>
    <row r="50" spans="8:30" x14ac:dyDescent="0.35">
      <c r="H50" s="34"/>
      <c r="I50" s="104">
        <v>46196</v>
      </c>
      <c r="J50" s="105"/>
      <c r="K50" s="104">
        <v>46197</v>
      </c>
      <c r="L50" s="105"/>
      <c r="M50" s="100">
        <v>46198</v>
      </c>
      <c r="N50" s="101"/>
      <c r="O50" s="96">
        <v>46199</v>
      </c>
      <c r="P50" s="102"/>
      <c r="Q50" s="96">
        <v>46200</v>
      </c>
      <c r="R50" s="102"/>
      <c r="S50" s="96">
        <v>46202</v>
      </c>
      <c r="T50" s="102"/>
      <c r="U50" s="96">
        <v>46203</v>
      </c>
      <c r="V50" s="102"/>
      <c r="W50" s="96">
        <v>46204</v>
      </c>
      <c r="X50" s="102"/>
      <c r="Y50" s="96">
        <v>46205</v>
      </c>
      <c r="Z50" s="102"/>
      <c r="AA50" s="96">
        <v>46206</v>
      </c>
      <c r="AB50" s="102"/>
    </row>
    <row r="51" spans="8:30" x14ac:dyDescent="0.35">
      <c r="H51" s="34"/>
      <c r="I51" s="31" t="s">
        <v>251</v>
      </c>
      <c r="J51" s="31" t="s">
        <v>252</v>
      </c>
      <c r="K51" s="31" t="s">
        <v>251</v>
      </c>
      <c r="L51" s="31" t="s">
        <v>252</v>
      </c>
      <c r="M51" s="10" t="s">
        <v>251</v>
      </c>
      <c r="N51" s="10" t="s">
        <v>252</v>
      </c>
      <c r="O51" s="10" t="s">
        <v>251</v>
      </c>
      <c r="P51" s="10" t="s">
        <v>252</v>
      </c>
      <c r="Q51" s="10" t="s">
        <v>251</v>
      </c>
      <c r="R51" s="10" t="s">
        <v>252</v>
      </c>
      <c r="S51" s="10" t="s">
        <v>251</v>
      </c>
      <c r="T51" s="10" t="s">
        <v>252</v>
      </c>
      <c r="U51" s="10" t="s">
        <v>251</v>
      </c>
      <c r="V51" s="10" t="s">
        <v>252</v>
      </c>
      <c r="W51" s="10" t="s">
        <v>251</v>
      </c>
      <c r="X51" s="10" t="s">
        <v>252</v>
      </c>
      <c r="Y51" s="10" t="s">
        <v>251</v>
      </c>
      <c r="Z51" s="10" t="s">
        <v>252</v>
      </c>
      <c r="AA51" s="10" t="s">
        <v>251</v>
      </c>
      <c r="AB51" s="10" t="s">
        <v>252</v>
      </c>
    </row>
    <row r="52" spans="8:30" x14ac:dyDescent="0.35">
      <c r="H52" s="34" t="s">
        <v>253</v>
      </c>
      <c r="I52" s="31">
        <v>51</v>
      </c>
      <c r="J52" s="31">
        <v>28942</v>
      </c>
      <c r="K52" s="31">
        <v>51</v>
      </c>
      <c r="L52" s="31">
        <v>28942</v>
      </c>
      <c r="M52" s="10">
        <v>48</v>
      </c>
      <c r="N52" s="10">
        <v>27704</v>
      </c>
      <c r="O52" s="10">
        <v>48</v>
      </c>
      <c r="P52" s="10">
        <v>27442</v>
      </c>
      <c r="Q52" s="10">
        <v>48</v>
      </c>
      <c r="R52" s="10">
        <v>27442</v>
      </c>
      <c r="S52" s="10">
        <v>48</v>
      </c>
      <c r="T52" s="10">
        <v>27442</v>
      </c>
      <c r="U52" s="10">
        <v>45</v>
      </c>
      <c r="V52" s="10">
        <v>23249</v>
      </c>
      <c r="W52" s="10">
        <v>45</v>
      </c>
      <c r="X52" s="10">
        <v>23249</v>
      </c>
      <c r="Y52" s="10">
        <v>45</v>
      </c>
      <c r="Z52" s="10">
        <v>23249</v>
      </c>
      <c r="AA52" s="10">
        <v>45</v>
      </c>
      <c r="AB52" s="10">
        <v>23249</v>
      </c>
    </row>
    <row r="53" spans="8:30" x14ac:dyDescent="0.35">
      <c r="H53" s="34" t="s">
        <v>254</v>
      </c>
      <c r="I53" s="31">
        <v>80</v>
      </c>
      <c r="J53" s="31">
        <v>35581</v>
      </c>
      <c r="K53" s="31">
        <v>70</v>
      </c>
      <c r="L53" s="31">
        <v>30208</v>
      </c>
      <c r="M53" s="10">
        <v>76</v>
      </c>
      <c r="N53" s="10">
        <v>32094</v>
      </c>
      <c r="O53" s="10">
        <v>71</v>
      </c>
      <c r="P53" s="10">
        <v>29634</v>
      </c>
      <c r="Q53" s="10">
        <v>68</v>
      </c>
      <c r="R53" s="10">
        <v>28153</v>
      </c>
      <c r="S53" s="10">
        <v>42</v>
      </c>
      <c r="T53" s="10">
        <v>18344</v>
      </c>
      <c r="U53" s="10">
        <v>40</v>
      </c>
      <c r="V53" s="10">
        <v>17284</v>
      </c>
      <c r="W53" s="10">
        <v>39</v>
      </c>
      <c r="X53" s="10">
        <v>17122</v>
      </c>
      <c r="Y53" s="10">
        <v>37</v>
      </c>
      <c r="Z53" s="10">
        <v>16263</v>
      </c>
      <c r="AA53" s="10">
        <v>36</v>
      </c>
      <c r="AB53" s="10">
        <v>15910</v>
      </c>
      <c r="AC53">
        <v>35</v>
      </c>
      <c r="AD53">
        <v>13654</v>
      </c>
    </row>
    <row r="54" spans="8:30" x14ac:dyDescent="0.35">
      <c r="H54" s="34" t="s">
        <v>255</v>
      </c>
      <c r="I54" s="31">
        <v>71</v>
      </c>
      <c r="J54" s="31">
        <v>38824</v>
      </c>
      <c r="K54" s="31">
        <v>68</v>
      </c>
      <c r="L54" s="31">
        <v>37324</v>
      </c>
      <c r="M54" s="10">
        <v>59</v>
      </c>
      <c r="N54" s="10">
        <v>33098</v>
      </c>
      <c r="O54" s="10">
        <v>58</v>
      </c>
      <c r="P54" s="10">
        <v>32598</v>
      </c>
      <c r="Q54" s="10">
        <v>58</v>
      </c>
      <c r="R54" s="10">
        <v>32598</v>
      </c>
      <c r="S54" s="10">
        <v>51</v>
      </c>
      <c r="T54" s="10">
        <v>26654</v>
      </c>
      <c r="U54" s="10">
        <v>50</v>
      </c>
      <c r="V54" s="10">
        <v>26154</v>
      </c>
      <c r="W54" s="10">
        <v>50</v>
      </c>
      <c r="X54" s="10">
        <v>26154</v>
      </c>
      <c r="Y54" s="10">
        <v>50</v>
      </c>
      <c r="Z54" s="10">
        <v>26154</v>
      </c>
      <c r="AA54" s="10">
        <v>49</v>
      </c>
      <c r="AB54" s="10">
        <v>25558</v>
      </c>
    </row>
    <row r="55" spans="8:30" x14ac:dyDescent="0.35">
      <c r="H55" s="34"/>
      <c r="I55" s="31"/>
      <c r="J55" s="31"/>
      <c r="K55" s="31"/>
      <c r="L55" s="31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8:30" x14ac:dyDescent="0.35">
      <c r="H56" s="34" t="s">
        <v>249</v>
      </c>
      <c r="I56" s="31">
        <f>SUM(I52:I55)</f>
        <v>202</v>
      </c>
      <c r="J56" s="31">
        <f t="shared" ref="J56:R56" si="0">SUM(J52:J55)</f>
        <v>103347</v>
      </c>
      <c r="K56" s="31">
        <f t="shared" si="0"/>
        <v>189</v>
      </c>
      <c r="L56" s="31">
        <f t="shared" si="0"/>
        <v>96474</v>
      </c>
      <c r="M56" s="10">
        <f t="shared" si="0"/>
        <v>183</v>
      </c>
      <c r="N56" s="10">
        <f t="shared" si="0"/>
        <v>92896</v>
      </c>
      <c r="O56" s="10">
        <f t="shared" si="0"/>
        <v>177</v>
      </c>
      <c r="P56" s="10">
        <f t="shared" si="0"/>
        <v>89674</v>
      </c>
      <c r="Q56" s="10">
        <f t="shared" si="0"/>
        <v>174</v>
      </c>
      <c r="R56" s="10">
        <f t="shared" si="0"/>
        <v>88193</v>
      </c>
      <c r="S56" s="10">
        <f t="shared" ref="S56" si="1">SUM(S52:S55)</f>
        <v>141</v>
      </c>
      <c r="T56" s="10">
        <f t="shared" ref="T56" si="2">SUM(T52:T55)</f>
        <v>72440</v>
      </c>
      <c r="U56" s="10">
        <f t="shared" ref="U56" si="3">SUM(U52:U55)</f>
        <v>135</v>
      </c>
      <c r="V56" s="10">
        <f t="shared" ref="V56" si="4">SUM(V52:V55)</f>
        <v>66687</v>
      </c>
      <c r="W56" s="10">
        <f t="shared" ref="W56:Y56" si="5">SUM(W52:W55)</f>
        <v>134</v>
      </c>
      <c r="X56" s="10">
        <f t="shared" ref="X56:AA56" si="6">SUM(X52:X55)</f>
        <v>66525</v>
      </c>
      <c r="Y56" s="10">
        <f t="shared" si="5"/>
        <v>132</v>
      </c>
      <c r="Z56" s="10">
        <f t="shared" si="6"/>
        <v>65666</v>
      </c>
      <c r="AA56" s="10">
        <f t="shared" si="6"/>
        <v>130</v>
      </c>
      <c r="AB56" s="10">
        <f t="shared" ref="AB56" si="7">SUM(AB52:AB55)</f>
        <v>64717</v>
      </c>
    </row>
  </sheetData>
  <mergeCells count="10">
    <mergeCell ref="Y50:Z50"/>
    <mergeCell ref="AA50:AB50"/>
    <mergeCell ref="U50:V50"/>
    <mergeCell ref="W50:X50"/>
    <mergeCell ref="I50:J50"/>
    <mergeCell ref="K50:L50"/>
    <mergeCell ref="M50:N50"/>
    <mergeCell ref="O50:P50"/>
    <mergeCell ref="Q50:R50"/>
    <mergeCell ref="S50:T50"/>
  </mergeCells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FD02-C98B-4F1B-AB68-A698F26E73D8}">
  <dimension ref="A2:AC89"/>
  <sheetViews>
    <sheetView showGridLines="0" zoomScale="83" zoomScaleNormal="110" workbookViewId="0">
      <pane xSplit="1" ySplit="2" topLeftCell="B51" activePane="bottomRight" state="frozen"/>
      <selection pane="topRight" activeCell="C1" sqref="C1"/>
      <selection pane="bottomLeft" activeCell="A3" sqref="A3"/>
      <selection pane="bottomRight" activeCell="A2" sqref="A2:F58"/>
    </sheetView>
  </sheetViews>
  <sheetFormatPr defaultRowHeight="14.5" x14ac:dyDescent="0.35"/>
  <cols>
    <col min="1" max="1" width="10.453125" bestFit="1" customWidth="1"/>
    <col min="2" max="2" width="14.453125" customWidth="1"/>
    <col min="3" max="3" width="12.54296875" bestFit="1" customWidth="1"/>
    <col min="4" max="4" width="8.81640625" customWidth="1"/>
    <col min="5" max="5" width="11.7265625" hidden="1" customWidth="1"/>
    <col min="7" max="7" width="17" hidden="1" customWidth="1"/>
    <col min="8" max="8" width="4.1796875" hidden="1" customWidth="1"/>
    <col min="9" max="9" width="8.7265625" hidden="1" customWidth="1"/>
    <col min="11" max="11" width="13.453125" customWidth="1"/>
    <col min="12" max="12" width="6.1796875" bestFit="1" customWidth="1"/>
    <col min="13" max="13" width="6.7265625" bestFit="1" customWidth="1"/>
    <col min="14" max="14" width="5.26953125" bestFit="1" customWidth="1"/>
    <col min="15" max="15" width="6.7265625" bestFit="1" customWidth="1"/>
    <col min="16" max="16" width="5.26953125" bestFit="1" customWidth="1"/>
    <col min="17" max="17" width="9.26953125" bestFit="1" customWidth="1"/>
    <col min="18" max="18" width="5.26953125" bestFit="1" customWidth="1"/>
    <col min="19" max="19" width="6.7265625" bestFit="1" customWidth="1"/>
    <col min="20" max="20" width="7.1796875" bestFit="1" customWidth="1"/>
    <col min="21" max="21" width="6.7265625" bestFit="1" customWidth="1"/>
    <col min="22" max="22" width="5.26953125" bestFit="1" customWidth="1"/>
    <col min="23" max="23" width="6.7265625" bestFit="1" customWidth="1"/>
    <col min="24" max="24" width="5.54296875" bestFit="1" customWidth="1"/>
    <col min="25" max="25" width="6.81640625" bestFit="1" customWidth="1"/>
    <col min="26" max="26" width="5.54296875" bestFit="1" customWidth="1"/>
    <col min="27" max="27" width="7.1796875" bestFit="1" customWidth="1"/>
    <col min="28" max="28" width="11" bestFit="1" customWidth="1"/>
    <col min="29" max="29" width="11.1796875" bestFit="1" customWidth="1"/>
    <col min="16384" max="16384" width="8.7265625" bestFit="1" customWidth="1"/>
  </cols>
  <sheetData>
    <row r="2" spans="1:29" ht="15.4" customHeight="1" x14ac:dyDescent="0.35">
      <c r="A2" s="1" t="s">
        <v>245</v>
      </c>
      <c r="B2" s="1" t="s">
        <v>256</v>
      </c>
      <c r="C2" s="1" t="s">
        <v>255</v>
      </c>
      <c r="D2" s="1" t="s">
        <v>253</v>
      </c>
      <c r="E2" s="1" t="s">
        <v>246</v>
      </c>
      <c r="F2" s="1" t="s">
        <v>249</v>
      </c>
      <c r="G2" s="2" t="s">
        <v>250</v>
      </c>
    </row>
    <row r="3" spans="1:29" x14ac:dyDescent="0.35">
      <c r="A3" s="3">
        <v>46195</v>
      </c>
      <c r="B3">
        <v>61</v>
      </c>
      <c r="C3">
        <v>88</v>
      </c>
      <c r="D3">
        <v>48</v>
      </c>
      <c r="E3">
        <v>0</v>
      </c>
      <c r="F3">
        <f t="shared" ref="F3:F9" si="0">SUM(B3:E3)</f>
        <v>197</v>
      </c>
      <c r="G3" s="2"/>
    </row>
    <row r="4" spans="1:29" x14ac:dyDescent="0.35">
      <c r="A4" s="3">
        <v>46196</v>
      </c>
      <c r="B4">
        <f>61-2</f>
        <v>59</v>
      </c>
      <c r="C4">
        <v>88</v>
      </c>
      <c r="D4">
        <v>48</v>
      </c>
      <c r="E4">
        <v>0</v>
      </c>
      <c r="F4">
        <f t="shared" si="0"/>
        <v>195</v>
      </c>
    </row>
    <row r="5" spans="1:29" x14ac:dyDescent="0.35">
      <c r="A5" s="3">
        <v>46197</v>
      </c>
      <c r="B5">
        <f>B4-4</f>
        <v>55</v>
      </c>
      <c r="C5">
        <f>C4-4</f>
        <v>84</v>
      </c>
      <c r="D5">
        <v>48</v>
      </c>
      <c r="E5">
        <v>1</v>
      </c>
      <c r="F5">
        <f t="shared" si="0"/>
        <v>188</v>
      </c>
    </row>
    <row r="6" spans="1:29" x14ac:dyDescent="0.35">
      <c r="A6" s="3">
        <v>46198</v>
      </c>
      <c r="B6">
        <v>76</v>
      </c>
      <c r="C6">
        <v>59</v>
      </c>
      <c r="D6">
        <f>D5</f>
        <v>48</v>
      </c>
      <c r="E6">
        <v>0</v>
      </c>
      <c r="F6">
        <f t="shared" si="0"/>
        <v>183</v>
      </c>
    </row>
    <row r="7" spans="1:29" x14ac:dyDescent="0.35">
      <c r="A7" s="3">
        <v>46199</v>
      </c>
      <c r="B7">
        <v>71</v>
      </c>
      <c r="C7">
        <v>58</v>
      </c>
      <c r="D7">
        <v>48</v>
      </c>
      <c r="E7">
        <v>0</v>
      </c>
      <c r="F7">
        <f t="shared" si="0"/>
        <v>177</v>
      </c>
    </row>
    <row r="8" spans="1:29" x14ac:dyDescent="0.35">
      <c r="A8" s="3">
        <v>46200</v>
      </c>
      <c r="B8">
        <v>68</v>
      </c>
      <c r="C8">
        <v>58</v>
      </c>
      <c r="D8">
        <v>48</v>
      </c>
      <c r="E8">
        <v>0</v>
      </c>
      <c r="F8">
        <f t="shared" si="0"/>
        <v>174</v>
      </c>
    </row>
    <row r="9" spans="1:29" x14ac:dyDescent="0.35">
      <c r="A9" s="3">
        <v>46202</v>
      </c>
      <c r="B9">
        <v>39</v>
      </c>
      <c r="C9">
        <v>51</v>
      </c>
      <c r="D9">
        <v>48</v>
      </c>
      <c r="E9">
        <v>2</v>
      </c>
      <c r="F9">
        <f t="shared" si="0"/>
        <v>140</v>
      </c>
    </row>
    <row r="10" spans="1:29" x14ac:dyDescent="0.35">
      <c r="A10" s="3">
        <v>46203</v>
      </c>
      <c r="B10">
        <v>37</v>
      </c>
      <c r="C10">
        <v>50</v>
      </c>
      <c r="D10">
        <v>45</v>
      </c>
      <c r="E10">
        <v>2</v>
      </c>
      <c r="F10">
        <f t="shared" ref="F10:F19" si="1">SUM(B10:E10)</f>
        <v>134</v>
      </c>
    </row>
    <row r="11" spans="1:29" x14ac:dyDescent="0.35">
      <c r="A11" s="3">
        <v>46204</v>
      </c>
      <c r="B11">
        <v>37</v>
      </c>
      <c r="C11">
        <v>50</v>
      </c>
      <c r="D11">
        <v>45</v>
      </c>
      <c r="E11">
        <v>0</v>
      </c>
      <c r="F11">
        <f>SUM(B11:E11)</f>
        <v>132</v>
      </c>
      <c r="AA11" t="s">
        <v>5</v>
      </c>
      <c r="AC11" t="s">
        <v>397</v>
      </c>
    </row>
    <row r="12" spans="1:29" x14ac:dyDescent="0.35">
      <c r="A12" s="3">
        <v>46205</v>
      </c>
      <c r="B12">
        <v>37</v>
      </c>
      <c r="C12">
        <v>50</v>
      </c>
      <c r="D12">
        <v>45</v>
      </c>
      <c r="E12">
        <v>0</v>
      </c>
      <c r="F12">
        <f t="shared" si="1"/>
        <v>132</v>
      </c>
      <c r="G12">
        <f>SUM(C12:F12)</f>
        <v>227</v>
      </c>
      <c r="H12">
        <f>SUM(D12:G12)</f>
        <v>404</v>
      </c>
      <c r="I12">
        <f>SUM(E12:H12)</f>
        <v>763</v>
      </c>
      <c r="AA12" t="s">
        <v>398</v>
      </c>
      <c r="AC12">
        <v>115</v>
      </c>
    </row>
    <row r="13" spans="1:29" x14ac:dyDescent="0.35">
      <c r="A13" s="3">
        <v>46206</v>
      </c>
      <c r="B13">
        <v>36</v>
      </c>
      <c r="C13">
        <v>49</v>
      </c>
      <c r="D13">
        <v>45</v>
      </c>
      <c r="E13">
        <v>0</v>
      </c>
      <c r="F13">
        <f t="shared" si="1"/>
        <v>130</v>
      </c>
      <c r="AA13" t="s">
        <v>399</v>
      </c>
      <c r="AC13">
        <f>130-AC12</f>
        <v>15</v>
      </c>
    </row>
    <row r="14" spans="1:29" x14ac:dyDescent="0.35">
      <c r="A14" s="3">
        <v>46207</v>
      </c>
      <c r="B14">
        <v>32</v>
      </c>
      <c r="C14">
        <v>46</v>
      </c>
      <c r="D14">
        <v>45</v>
      </c>
      <c r="E14">
        <v>0</v>
      </c>
      <c r="F14">
        <f t="shared" si="1"/>
        <v>123</v>
      </c>
    </row>
    <row r="15" spans="1:29" x14ac:dyDescent="0.35">
      <c r="A15" s="3">
        <v>46209</v>
      </c>
      <c r="B15">
        <v>27</v>
      </c>
      <c r="C15">
        <v>46</v>
      </c>
      <c r="D15">
        <v>45</v>
      </c>
      <c r="F15">
        <f t="shared" si="1"/>
        <v>118</v>
      </c>
    </row>
    <row r="16" spans="1:29" x14ac:dyDescent="0.35">
      <c r="A16" s="3">
        <v>46210</v>
      </c>
      <c r="B16">
        <v>24</v>
      </c>
      <c r="C16">
        <v>46</v>
      </c>
      <c r="D16">
        <v>45</v>
      </c>
      <c r="F16">
        <f t="shared" si="1"/>
        <v>115</v>
      </c>
    </row>
    <row r="17" spans="1:6" x14ac:dyDescent="0.35">
      <c r="A17" s="3">
        <v>46211</v>
      </c>
      <c r="B17">
        <v>23</v>
      </c>
      <c r="C17">
        <v>43</v>
      </c>
      <c r="D17">
        <v>45</v>
      </c>
      <c r="F17">
        <f t="shared" si="1"/>
        <v>111</v>
      </c>
    </row>
    <row r="18" spans="1:6" x14ac:dyDescent="0.35">
      <c r="A18" s="3">
        <v>46212</v>
      </c>
      <c r="B18">
        <f>23-2</f>
        <v>21</v>
      </c>
      <c r="C18">
        <v>43</v>
      </c>
      <c r="D18">
        <v>45</v>
      </c>
      <c r="F18">
        <f t="shared" si="1"/>
        <v>109</v>
      </c>
    </row>
    <row r="19" spans="1:6" x14ac:dyDescent="0.35">
      <c r="A19" s="3">
        <v>46213</v>
      </c>
      <c r="B19">
        <v>21</v>
      </c>
      <c r="C19">
        <v>42</v>
      </c>
      <c r="D19">
        <v>45</v>
      </c>
      <c r="F19">
        <f t="shared" si="1"/>
        <v>108</v>
      </c>
    </row>
    <row r="20" spans="1:6" x14ac:dyDescent="0.35">
      <c r="A20" s="3">
        <v>46214</v>
      </c>
      <c r="B20">
        <v>20</v>
      </c>
      <c r="C20">
        <v>42</v>
      </c>
      <c r="D20">
        <v>45</v>
      </c>
      <c r="F20">
        <f t="shared" ref="F20:F25" si="2">SUM(B20:E20)</f>
        <v>107</v>
      </c>
    </row>
    <row r="21" spans="1:6" x14ac:dyDescent="0.35">
      <c r="A21" s="3">
        <v>46216</v>
      </c>
      <c r="B21">
        <v>20</v>
      </c>
      <c r="C21">
        <v>42</v>
      </c>
      <c r="D21">
        <v>45</v>
      </c>
      <c r="F21">
        <f t="shared" si="2"/>
        <v>107</v>
      </c>
    </row>
    <row r="22" spans="1:6" x14ac:dyDescent="0.35">
      <c r="A22" s="3">
        <v>46217</v>
      </c>
      <c r="B22">
        <v>20</v>
      </c>
      <c r="C22">
        <v>41</v>
      </c>
      <c r="D22">
        <v>45</v>
      </c>
      <c r="F22">
        <f t="shared" si="2"/>
        <v>106</v>
      </c>
    </row>
    <row r="23" spans="1:6" x14ac:dyDescent="0.35">
      <c r="A23" s="3">
        <v>46218</v>
      </c>
      <c r="B23">
        <v>20</v>
      </c>
      <c r="C23">
        <v>40</v>
      </c>
      <c r="D23">
        <v>45</v>
      </c>
      <c r="F23">
        <f t="shared" si="2"/>
        <v>105</v>
      </c>
    </row>
    <row r="24" spans="1:6" x14ac:dyDescent="0.35">
      <c r="A24" s="3">
        <v>46219</v>
      </c>
      <c r="B24">
        <v>19</v>
      </c>
      <c r="C24">
        <v>40</v>
      </c>
      <c r="D24">
        <v>45</v>
      </c>
      <c r="F24">
        <f t="shared" si="2"/>
        <v>104</v>
      </c>
    </row>
    <row r="25" spans="1:6" x14ac:dyDescent="0.35">
      <c r="A25" s="3">
        <v>46220</v>
      </c>
      <c r="B25">
        <v>19</v>
      </c>
      <c r="C25">
        <v>39</v>
      </c>
      <c r="D25">
        <v>45</v>
      </c>
      <c r="F25">
        <f t="shared" si="2"/>
        <v>103</v>
      </c>
    </row>
    <row r="26" spans="1:6" x14ac:dyDescent="0.35">
      <c r="A26" s="3">
        <v>46221</v>
      </c>
      <c r="B26">
        <f>B25-3</f>
        <v>16</v>
      </c>
      <c r="C26">
        <f>C25-2</f>
        <v>37</v>
      </c>
      <c r="D26">
        <v>45</v>
      </c>
      <c r="F26">
        <f t="shared" ref="F26:F27" si="3">SUM(B26:E26)</f>
        <v>98</v>
      </c>
    </row>
    <row r="27" spans="1:6" x14ac:dyDescent="0.35">
      <c r="A27" s="3">
        <v>46223</v>
      </c>
      <c r="B27">
        <v>14</v>
      </c>
      <c r="C27">
        <f>C26-2</f>
        <v>35</v>
      </c>
      <c r="D27">
        <v>45</v>
      </c>
      <c r="F27" s="46">
        <f t="shared" si="3"/>
        <v>94</v>
      </c>
    </row>
    <row r="28" spans="1:6" x14ac:dyDescent="0.35">
      <c r="A28" s="3">
        <v>46224</v>
      </c>
      <c r="B28">
        <v>6</v>
      </c>
      <c r="C28">
        <f t="shared" ref="C28" si="4">C27-2</f>
        <v>33</v>
      </c>
      <c r="D28">
        <v>45</v>
      </c>
      <c r="F28" s="46">
        <f>SUM(B28:E28)</f>
        <v>84</v>
      </c>
    </row>
    <row r="29" spans="1:6" x14ac:dyDescent="0.35">
      <c r="A29" s="3">
        <v>46225</v>
      </c>
      <c r="B29">
        <v>0</v>
      </c>
      <c r="C29">
        <v>44</v>
      </c>
      <c r="D29">
        <v>45</v>
      </c>
      <c r="F29" s="46">
        <f t="shared" ref="F29:F32" si="5">SUM(B29:E29)</f>
        <v>89</v>
      </c>
    </row>
    <row r="30" spans="1:6" x14ac:dyDescent="0.35">
      <c r="A30" s="3">
        <v>46226</v>
      </c>
      <c r="B30">
        <v>0</v>
      </c>
      <c r="C30">
        <v>43</v>
      </c>
      <c r="D30">
        <v>45</v>
      </c>
      <c r="F30" s="46">
        <f t="shared" si="5"/>
        <v>88</v>
      </c>
    </row>
    <row r="31" spans="1:6" x14ac:dyDescent="0.35">
      <c r="A31" s="3">
        <v>46227</v>
      </c>
      <c r="B31">
        <v>0</v>
      </c>
      <c r="C31">
        <v>42</v>
      </c>
      <c r="D31">
        <v>45</v>
      </c>
      <c r="F31" s="46">
        <f t="shared" si="5"/>
        <v>87</v>
      </c>
    </row>
    <row r="32" spans="1:6" x14ac:dyDescent="0.35">
      <c r="A32" s="3">
        <v>46228</v>
      </c>
      <c r="B32">
        <v>0</v>
      </c>
      <c r="C32">
        <v>41</v>
      </c>
      <c r="D32">
        <v>43</v>
      </c>
      <c r="F32" s="46">
        <f t="shared" si="5"/>
        <v>84</v>
      </c>
    </row>
    <row r="33" spans="1:27" x14ac:dyDescent="0.35">
      <c r="A33" s="3">
        <v>46230</v>
      </c>
      <c r="B33">
        <v>0</v>
      </c>
      <c r="C33" s="46">
        <v>40</v>
      </c>
      <c r="D33">
        <v>43</v>
      </c>
      <c r="F33" s="46">
        <f>SUM(B33:E33)</f>
        <v>83</v>
      </c>
    </row>
    <row r="34" spans="1:27" x14ac:dyDescent="0.35">
      <c r="A34" s="3">
        <v>46231</v>
      </c>
      <c r="B34">
        <v>0</v>
      </c>
      <c r="C34" s="46">
        <f>17+22</f>
        <v>39</v>
      </c>
      <c r="D34">
        <v>39</v>
      </c>
      <c r="F34" s="46">
        <f>SUM(B34:E34)</f>
        <v>78</v>
      </c>
    </row>
    <row r="35" spans="1:27" x14ac:dyDescent="0.35">
      <c r="A35" s="3">
        <v>46232</v>
      </c>
      <c r="B35">
        <v>0</v>
      </c>
      <c r="C35" s="46">
        <v>37</v>
      </c>
      <c r="D35">
        <v>39</v>
      </c>
      <c r="F35" s="46">
        <f t="shared" ref="F35:F36" si="6">SUM(B35:E35)</f>
        <v>76</v>
      </c>
    </row>
    <row r="36" spans="1:27" x14ac:dyDescent="0.35">
      <c r="A36" s="3">
        <v>46237</v>
      </c>
      <c r="B36">
        <v>0</v>
      </c>
      <c r="C36" s="46">
        <v>35</v>
      </c>
      <c r="D36">
        <v>39</v>
      </c>
      <c r="F36" s="46">
        <f t="shared" si="6"/>
        <v>74</v>
      </c>
    </row>
    <row r="37" spans="1:27" x14ac:dyDescent="0.35">
      <c r="A37" s="3">
        <v>46238</v>
      </c>
      <c r="B37">
        <v>0</v>
      </c>
      <c r="C37" s="46">
        <f>20+14</f>
        <v>34</v>
      </c>
      <c r="D37">
        <v>39</v>
      </c>
      <c r="F37" s="46">
        <f>SUM(B37:E37)</f>
        <v>73</v>
      </c>
    </row>
    <row r="38" spans="1:27" x14ac:dyDescent="0.35">
      <c r="A38" s="3">
        <v>46239</v>
      </c>
      <c r="B38">
        <v>0</v>
      </c>
      <c r="C38" s="46">
        <f>20+14</f>
        <v>34</v>
      </c>
      <c r="D38">
        <v>39</v>
      </c>
      <c r="F38" s="46">
        <f>SUM(B38:E38)</f>
        <v>73</v>
      </c>
    </row>
    <row r="39" spans="1:27" x14ac:dyDescent="0.35">
      <c r="A39" s="3">
        <v>46240</v>
      </c>
      <c r="B39">
        <v>0</v>
      </c>
      <c r="C39" s="46">
        <f>20+15</f>
        <v>35</v>
      </c>
      <c r="D39">
        <v>39</v>
      </c>
      <c r="F39" s="46">
        <f>SUM(B39:E39)</f>
        <v>74</v>
      </c>
    </row>
    <row r="40" spans="1:27" x14ac:dyDescent="0.35">
      <c r="A40" s="3">
        <v>46241</v>
      </c>
      <c r="B40">
        <v>0</v>
      </c>
      <c r="C40" s="46">
        <f t="shared" ref="C40" si="7">20+15</f>
        <v>35</v>
      </c>
      <c r="D40">
        <v>39</v>
      </c>
      <c r="F40" s="46">
        <f t="shared" ref="F40:F46" si="8">SUM(B40:E40)</f>
        <v>74</v>
      </c>
    </row>
    <row r="41" spans="1:27" x14ac:dyDescent="0.35">
      <c r="A41" s="3">
        <v>46242</v>
      </c>
      <c r="B41">
        <v>0</v>
      </c>
      <c r="C41" s="46">
        <f>20+15-6</f>
        <v>29</v>
      </c>
      <c r="D41">
        <v>39</v>
      </c>
      <c r="F41" s="46">
        <f t="shared" si="8"/>
        <v>68</v>
      </c>
      <c r="J41" s="46"/>
    </row>
    <row r="42" spans="1:27" x14ac:dyDescent="0.35">
      <c r="A42" s="3">
        <v>46244</v>
      </c>
      <c r="B42">
        <v>0</v>
      </c>
      <c r="C42" s="46">
        <f t="shared" ref="C42:C58" si="9">20+15-6</f>
        <v>29</v>
      </c>
      <c r="D42">
        <v>39</v>
      </c>
      <c r="E42" s="51"/>
      <c r="F42" s="46">
        <f t="shared" si="8"/>
        <v>68</v>
      </c>
    </row>
    <row r="43" spans="1:27" x14ac:dyDescent="0.35">
      <c r="A43" s="3">
        <v>46245</v>
      </c>
      <c r="B43">
        <v>0</v>
      </c>
      <c r="C43" s="46">
        <f t="shared" si="9"/>
        <v>29</v>
      </c>
      <c r="D43">
        <v>39</v>
      </c>
      <c r="E43" s="51"/>
      <c r="F43" s="46">
        <f t="shared" si="8"/>
        <v>68</v>
      </c>
    </row>
    <row r="44" spans="1:27" x14ac:dyDescent="0.35">
      <c r="A44" s="3">
        <v>46246</v>
      </c>
      <c r="B44">
        <v>0</v>
      </c>
      <c r="C44" s="46">
        <f t="shared" si="9"/>
        <v>29</v>
      </c>
      <c r="D44">
        <v>39</v>
      </c>
      <c r="E44" s="51"/>
      <c r="F44" s="46">
        <f t="shared" si="8"/>
        <v>68</v>
      </c>
    </row>
    <row r="45" spans="1:27" x14ac:dyDescent="0.35">
      <c r="A45" s="3">
        <v>46247</v>
      </c>
      <c r="B45">
        <v>0</v>
      </c>
      <c r="C45" s="46">
        <f t="shared" si="9"/>
        <v>29</v>
      </c>
      <c r="D45">
        <v>39</v>
      </c>
      <c r="E45" s="51"/>
      <c r="F45" s="46">
        <f t="shared" si="8"/>
        <v>68</v>
      </c>
    </row>
    <row r="46" spans="1:27" x14ac:dyDescent="0.35">
      <c r="A46" s="3">
        <v>46248</v>
      </c>
      <c r="B46">
        <v>0</v>
      </c>
      <c r="C46" s="46">
        <f t="shared" si="9"/>
        <v>29</v>
      </c>
      <c r="D46">
        <v>39</v>
      </c>
      <c r="E46" s="51"/>
      <c r="F46" s="46">
        <f t="shared" si="8"/>
        <v>68</v>
      </c>
      <c r="J46">
        <v>17</v>
      </c>
      <c r="K46" t="s">
        <v>400</v>
      </c>
    </row>
    <row r="47" spans="1:27" x14ac:dyDescent="0.35">
      <c r="A47" s="3">
        <v>46249</v>
      </c>
      <c r="B47">
        <v>0</v>
      </c>
      <c r="C47" s="46">
        <f t="shared" si="9"/>
        <v>29</v>
      </c>
      <c r="D47">
        <v>39</v>
      </c>
      <c r="E47" s="51"/>
      <c r="F47" s="46">
        <f t="shared" ref="F47" si="10">SUM(B47:E47)</f>
        <v>68</v>
      </c>
      <c r="J47" s="46">
        <v>12</v>
      </c>
      <c r="K47" s="8"/>
      <c r="L47" s="100">
        <v>46198</v>
      </c>
      <c r="M47" s="101"/>
      <c r="N47" s="100">
        <v>46199</v>
      </c>
      <c r="O47" s="101"/>
      <c r="P47" s="100">
        <v>46200</v>
      </c>
      <c r="Q47" s="101"/>
      <c r="R47" s="100">
        <v>46202</v>
      </c>
      <c r="S47" s="101"/>
      <c r="T47" s="100">
        <v>46203</v>
      </c>
      <c r="U47" s="101"/>
      <c r="V47" s="100">
        <v>46204</v>
      </c>
      <c r="W47" s="101"/>
      <c r="X47" s="100">
        <v>46205</v>
      </c>
      <c r="Y47" s="101"/>
      <c r="Z47" s="100">
        <v>46206</v>
      </c>
      <c r="AA47" s="101"/>
    </row>
    <row r="48" spans="1:27" x14ac:dyDescent="0.35">
      <c r="A48" s="3">
        <v>46252</v>
      </c>
      <c r="B48">
        <v>0</v>
      </c>
      <c r="C48" s="46">
        <f t="shared" si="9"/>
        <v>29</v>
      </c>
      <c r="D48">
        <v>39</v>
      </c>
      <c r="E48" s="51"/>
      <c r="F48" s="46">
        <f t="shared" ref="F48" si="11">SUM(B48:E48)</f>
        <v>68</v>
      </c>
      <c r="J48" s="46">
        <f>SUM(F34:J34)</f>
        <v>78</v>
      </c>
      <c r="K48" s="8"/>
      <c r="L48" s="10" t="s">
        <v>251</v>
      </c>
      <c r="M48" s="10" t="s">
        <v>252</v>
      </c>
      <c r="N48" s="10" t="s">
        <v>251</v>
      </c>
      <c r="O48" s="10" t="s">
        <v>252</v>
      </c>
      <c r="P48" s="10" t="s">
        <v>251</v>
      </c>
      <c r="Q48" s="10" t="s">
        <v>252</v>
      </c>
      <c r="R48" s="10" t="s">
        <v>251</v>
      </c>
      <c r="S48" s="10" t="s">
        <v>252</v>
      </c>
      <c r="T48" s="10" t="s">
        <v>251</v>
      </c>
      <c r="U48" s="10" t="s">
        <v>252</v>
      </c>
      <c r="V48" s="10" t="s">
        <v>251</v>
      </c>
      <c r="W48" s="10" t="s">
        <v>252</v>
      </c>
      <c r="X48" s="10" t="s">
        <v>251</v>
      </c>
      <c r="Y48" s="10" t="s">
        <v>252</v>
      </c>
      <c r="Z48" s="10" t="s">
        <v>251</v>
      </c>
      <c r="AA48" s="10" t="s">
        <v>252</v>
      </c>
    </row>
    <row r="49" spans="1:27" x14ac:dyDescent="0.35">
      <c r="A49" s="3">
        <v>46253</v>
      </c>
      <c r="B49">
        <v>0</v>
      </c>
      <c r="C49" s="46">
        <f t="shared" si="9"/>
        <v>29</v>
      </c>
      <c r="D49">
        <v>39</v>
      </c>
      <c r="E49" s="51"/>
      <c r="F49" s="46">
        <f t="shared" ref="F49" si="12">SUM(B49:E49)</f>
        <v>68</v>
      </c>
      <c r="K49" s="8" t="s">
        <v>253</v>
      </c>
      <c r="L49" s="10">
        <v>48</v>
      </c>
      <c r="M49" s="10">
        <v>27704</v>
      </c>
      <c r="N49" s="10">
        <v>48</v>
      </c>
      <c r="O49" s="10">
        <v>27442</v>
      </c>
      <c r="P49" s="10">
        <v>48</v>
      </c>
      <c r="Q49" s="10">
        <v>27442</v>
      </c>
      <c r="R49" s="10">
        <v>48</v>
      </c>
      <c r="S49" s="10">
        <v>27442</v>
      </c>
      <c r="T49" s="10">
        <v>45</v>
      </c>
      <c r="U49" s="10">
        <v>23249</v>
      </c>
      <c r="V49" s="10">
        <v>45</v>
      </c>
      <c r="W49" s="10">
        <v>23249</v>
      </c>
      <c r="X49" s="10">
        <v>45</v>
      </c>
      <c r="Y49" s="10">
        <v>23249</v>
      </c>
      <c r="Z49" s="10">
        <v>45</v>
      </c>
      <c r="AA49" s="10">
        <v>23249</v>
      </c>
    </row>
    <row r="50" spans="1:27" x14ac:dyDescent="0.35">
      <c r="A50" s="3">
        <v>46254</v>
      </c>
      <c r="B50">
        <v>0</v>
      </c>
      <c r="C50" s="46">
        <f t="shared" si="9"/>
        <v>29</v>
      </c>
      <c r="D50">
        <v>39</v>
      </c>
      <c r="E50" s="51"/>
      <c r="F50" s="46">
        <f t="shared" ref="F50:F51" si="13">SUM(B50:E50)</f>
        <v>68</v>
      </c>
      <c r="K50" s="8" t="s">
        <v>254</v>
      </c>
      <c r="L50" s="10">
        <v>76</v>
      </c>
      <c r="M50" s="10">
        <v>32094</v>
      </c>
      <c r="N50" s="10">
        <v>71</v>
      </c>
      <c r="O50" s="10">
        <v>29634</v>
      </c>
      <c r="P50" s="10">
        <v>68</v>
      </c>
      <c r="Q50" s="10">
        <v>28153</v>
      </c>
      <c r="R50" s="10">
        <v>42</v>
      </c>
      <c r="S50" s="10">
        <v>18344</v>
      </c>
      <c r="T50" s="10">
        <v>40</v>
      </c>
      <c r="U50" s="10">
        <v>17284</v>
      </c>
      <c r="V50" s="10">
        <v>39</v>
      </c>
      <c r="W50" s="10">
        <v>17122</v>
      </c>
      <c r="X50" s="10">
        <v>37</v>
      </c>
      <c r="Y50" s="10">
        <v>16263</v>
      </c>
      <c r="Z50" s="10">
        <v>36</v>
      </c>
      <c r="AA50" s="10">
        <v>15910</v>
      </c>
    </row>
    <row r="51" spans="1:27" x14ac:dyDescent="0.35">
      <c r="A51" s="3">
        <v>46255</v>
      </c>
      <c r="B51">
        <v>0</v>
      </c>
      <c r="C51" s="46">
        <f t="shared" si="9"/>
        <v>29</v>
      </c>
      <c r="D51">
        <v>39</v>
      </c>
      <c r="E51" s="51"/>
      <c r="F51" s="46">
        <f t="shared" si="13"/>
        <v>68</v>
      </c>
      <c r="K51" s="8" t="s">
        <v>255</v>
      </c>
      <c r="L51" s="10">
        <v>59</v>
      </c>
      <c r="M51" s="10">
        <v>33098</v>
      </c>
      <c r="N51" s="10">
        <v>58</v>
      </c>
      <c r="O51" s="10">
        <v>32598</v>
      </c>
      <c r="P51" s="10">
        <v>58</v>
      </c>
      <c r="Q51" s="10">
        <v>32598</v>
      </c>
      <c r="R51" s="10">
        <v>51</v>
      </c>
      <c r="S51" s="10">
        <v>26654</v>
      </c>
      <c r="T51" s="10">
        <v>50</v>
      </c>
      <c r="U51" s="10">
        <v>26154</v>
      </c>
      <c r="V51" s="10">
        <v>50</v>
      </c>
      <c r="W51" s="10">
        <v>26154</v>
      </c>
      <c r="X51" s="10">
        <v>50</v>
      </c>
      <c r="Y51" s="10">
        <v>26154</v>
      </c>
      <c r="Z51" s="10">
        <v>49</v>
      </c>
      <c r="AA51" s="10">
        <v>25558</v>
      </c>
    </row>
    <row r="52" spans="1:27" x14ac:dyDescent="0.35">
      <c r="A52" s="3">
        <v>46256</v>
      </c>
      <c r="B52">
        <v>0</v>
      </c>
      <c r="C52" s="46">
        <f t="shared" si="9"/>
        <v>29</v>
      </c>
      <c r="D52">
        <v>39</v>
      </c>
      <c r="E52" s="51"/>
      <c r="F52" s="46">
        <f t="shared" ref="F52" si="14">SUM(B52:E52)</f>
        <v>68</v>
      </c>
      <c r="K52" s="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35">
      <c r="A53" s="3">
        <v>46260</v>
      </c>
      <c r="B53">
        <v>0</v>
      </c>
      <c r="C53" s="46">
        <f t="shared" si="9"/>
        <v>29</v>
      </c>
      <c r="D53">
        <v>39</v>
      </c>
      <c r="E53" s="51"/>
      <c r="F53" s="46">
        <f t="shared" ref="F53" si="15">SUM(B53:E53)</f>
        <v>68</v>
      </c>
      <c r="K53" s="8" t="s">
        <v>249</v>
      </c>
      <c r="L53" s="10">
        <f t="shared" ref="L53:AA53" si="16">SUM(L49:L52)</f>
        <v>183</v>
      </c>
      <c r="M53" s="10">
        <f t="shared" si="16"/>
        <v>92896</v>
      </c>
      <c r="N53" s="10">
        <f t="shared" si="16"/>
        <v>177</v>
      </c>
      <c r="O53" s="10">
        <f t="shared" si="16"/>
        <v>89674</v>
      </c>
      <c r="P53" s="10">
        <f t="shared" si="16"/>
        <v>174</v>
      </c>
      <c r="Q53" s="10">
        <f t="shared" si="16"/>
        <v>88193</v>
      </c>
      <c r="R53" s="10">
        <f t="shared" si="16"/>
        <v>141</v>
      </c>
      <c r="S53" s="10">
        <f t="shared" si="16"/>
        <v>72440</v>
      </c>
      <c r="T53" s="10">
        <f t="shared" si="16"/>
        <v>135</v>
      </c>
      <c r="U53" s="10">
        <f t="shared" si="16"/>
        <v>66687</v>
      </c>
      <c r="V53" s="10">
        <f t="shared" si="16"/>
        <v>134</v>
      </c>
      <c r="W53" s="10">
        <f t="shared" si="16"/>
        <v>66525</v>
      </c>
      <c r="X53" s="10">
        <f t="shared" si="16"/>
        <v>132</v>
      </c>
      <c r="Y53" s="10">
        <f t="shared" si="16"/>
        <v>65666</v>
      </c>
      <c r="Z53" s="10">
        <f t="shared" si="16"/>
        <v>130</v>
      </c>
      <c r="AA53" s="10">
        <f t="shared" si="16"/>
        <v>64717</v>
      </c>
    </row>
    <row r="54" spans="1:27" x14ac:dyDescent="0.35">
      <c r="A54" s="3">
        <v>46261</v>
      </c>
      <c r="B54">
        <v>0</v>
      </c>
      <c r="C54" s="46">
        <f t="shared" si="9"/>
        <v>29</v>
      </c>
      <c r="D54">
        <v>39</v>
      </c>
      <c r="E54" s="51"/>
      <c r="F54" s="46">
        <f t="shared" ref="F54" si="17">SUM(B54:E54)</f>
        <v>68</v>
      </c>
    </row>
    <row r="55" spans="1:27" x14ac:dyDescent="0.35">
      <c r="A55" s="3">
        <v>46266</v>
      </c>
      <c r="B55">
        <v>0</v>
      </c>
      <c r="C55" s="46">
        <f t="shared" si="9"/>
        <v>29</v>
      </c>
      <c r="D55">
        <v>39</v>
      </c>
      <c r="E55" s="51"/>
      <c r="F55" s="46">
        <f t="shared" ref="F55" si="18">SUM(B55:E55)</f>
        <v>68</v>
      </c>
    </row>
    <row r="56" spans="1:27" x14ac:dyDescent="0.35">
      <c r="A56" s="3">
        <v>46267</v>
      </c>
      <c r="B56">
        <v>0</v>
      </c>
      <c r="C56" s="46">
        <f t="shared" si="9"/>
        <v>29</v>
      </c>
      <c r="D56">
        <v>39</v>
      </c>
      <c r="E56" s="51"/>
      <c r="F56" s="46">
        <f t="shared" ref="F56" si="19">SUM(B56:E56)</f>
        <v>68</v>
      </c>
    </row>
    <row r="57" spans="1:27" x14ac:dyDescent="0.35">
      <c r="A57" s="3">
        <v>46268</v>
      </c>
      <c r="B57">
        <v>0</v>
      </c>
      <c r="C57" s="46">
        <f t="shared" si="9"/>
        <v>29</v>
      </c>
      <c r="D57">
        <v>39</v>
      </c>
      <c r="E57" s="51"/>
      <c r="F57" s="46">
        <f t="shared" ref="F57:F58" si="20">SUM(B57:E57)</f>
        <v>68</v>
      </c>
      <c r="K57" s="3"/>
    </row>
    <row r="58" spans="1:27" x14ac:dyDescent="0.35">
      <c r="A58" s="3">
        <v>46269</v>
      </c>
      <c r="B58">
        <v>0</v>
      </c>
      <c r="C58" s="46">
        <f t="shared" si="9"/>
        <v>29</v>
      </c>
      <c r="D58">
        <v>39</v>
      </c>
      <c r="E58" s="51"/>
      <c r="F58" s="46">
        <f t="shared" si="20"/>
        <v>68</v>
      </c>
      <c r="K58" s="3"/>
    </row>
    <row r="59" spans="1:27" x14ac:dyDescent="0.35">
      <c r="A59" s="3">
        <v>46272</v>
      </c>
      <c r="C59" s="46"/>
      <c r="F59" s="46"/>
      <c r="K59" s="3"/>
    </row>
    <row r="60" spans="1:27" x14ac:dyDescent="0.35">
      <c r="A60" s="3">
        <v>46273</v>
      </c>
      <c r="C60" s="46"/>
      <c r="F60" s="46"/>
      <c r="K60" s="3"/>
    </row>
    <row r="61" spans="1:27" x14ac:dyDescent="0.35">
      <c r="A61" s="3">
        <v>46274</v>
      </c>
      <c r="C61" s="46"/>
      <c r="F61" s="46"/>
      <c r="K61" s="3"/>
    </row>
    <row r="62" spans="1:27" x14ac:dyDescent="0.35">
      <c r="A62" s="3">
        <v>46275</v>
      </c>
      <c r="C62" s="46"/>
      <c r="F62" s="46"/>
      <c r="K62" s="3"/>
    </row>
    <row r="63" spans="1:27" x14ac:dyDescent="0.35">
      <c r="A63" s="3">
        <v>46276</v>
      </c>
      <c r="C63" s="46"/>
      <c r="F63" s="46"/>
      <c r="K63" s="3"/>
    </row>
    <row r="64" spans="1:27" x14ac:dyDescent="0.35">
      <c r="A64" s="3">
        <v>46277</v>
      </c>
      <c r="C64" s="46"/>
      <c r="F64" s="46"/>
      <c r="K64" s="3" t="s">
        <v>401</v>
      </c>
      <c r="L64">
        <v>23710</v>
      </c>
      <c r="M64">
        <v>40</v>
      </c>
      <c r="O64">
        <f>L64/SUM(L64:L65)*O66</f>
        <v>6054.6475995914197</v>
      </c>
    </row>
    <row r="65" spans="1:20" x14ac:dyDescent="0.35">
      <c r="A65" s="3">
        <v>46279</v>
      </c>
      <c r="C65" s="46"/>
      <c r="F65" s="46"/>
      <c r="K65" s="3" t="s">
        <v>402</v>
      </c>
      <c r="L65">
        <v>15450</v>
      </c>
      <c r="M65">
        <v>33</v>
      </c>
      <c r="O65">
        <f>L65/SUM(L64:L65)*O66</f>
        <v>3945.3524004085798</v>
      </c>
    </row>
    <row r="66" spans="1:20" x14ac:dyDescent="0.35">
      <c r="A66" s="3">
        <v>46280</v>
      </c>
      <c r="C66" s="46"/>
      <c r="F66" s="46"/>
      <c r="K66" s="3"/>
      <c r="L66">
        <f>SUM(L64:L65)</f>
        <v>39160</v>
      </c>
      <c r="M66">
        <f>SUM(M64:M65)</f>
        <v>73</v>
      </c>
      <c r="O66">
        <v>10000</v>
      </c>
      <c r="S66">
        <v>33</v>
      </c>
      <c r="T66">
        <v>15450</v>
      </c>
    </row>
    <row r="67" spans="1:20" x14ac:dyDescent="0.35">
      <c r="A67" s="3">
        <v>46281</v>
      </c>
      <c r="C67" s="46"/>
      <c r="F67" s="46"/>
      <c r="S67">
        <v>15</v>
      </c>
      <c r="T67" t="s">
        <v>244</v>
      </c>
    </row>
    <row r="68" spans="1:20" x14ac:dyDescent="0.35">
      <c r="A68" s="3">
        <v>46282</v>
      </c>
      <c r="C68" s="46"/>
      <c r="F68" s="46"/>
      <c r="T68">
        <f>T66*S67</f>
        <v>231750</v>
      </c>
    </row>
    <row r="69" spans="1:20" x14ac:dyDescent="0.35">
      <c r="A69" s="3">
        <v>46283</v>
      </c>
      <c r="C69" s="46"/>
      <c r="F69" s="46"/>
      <c r="K69" s="46"/>
      <c r="T69">
        <f>T68/S66</f>
        <v>7022.727272727273</v>
      </c>
    </row>
    <row r="70" spans="1:20" x14ac:dyDescent="0.35">
      <c r="A70" s="3">
        <v>46284</v>
      </c>
      <c r="C70" s="46"/>
      <c r="F70" s="46"/>
    </row>
    <row r="71" spans="1:20" x14ac:dyDescent="0.35">
      <c r="A71" s="3">
        <v>46286</v>
      </c>
      <c r="C71" s="46"/>
      <c r="F71" s="46"/>
    </row>
    <row r="72" spans="1:20" x14ac:dyDescent="0.35">
      <c r="A72" s="3">
        <v>46287</v>
      </c>
      <c r="C72" s="46"/>
      <c r="F72" s="46"/>
    </row>
    <row r="73" spans="1:20" x14ac:dyDescent="0.35">
      <c r="A73" s="3">
        <v>46288</v>
      </c>
      <c r="C73" s="46"/>
      <c r="F73" s="46"/>
    </row>
    <row r="74" spans="1:20" x14ac:dyDescent="0.35">
      <c r="A74" s="3">
        <v>46289</v>
      </c>
      <c r="C74" s="46"/>
      <c r="F74" s="46"/>
    </row>
    <row r="75" spans="1:20" x14ac:dyDescent="0.35">
      <c r="A75" s="3">
        <v>46290</v>
      </c>
      <c r="C75" s="46"/>
      <c r="F75" s="46"/>
    </row>
    <row r="76" spans="1:20" x14ac:dyDescent="0.35">
      <c r="A76" s="3">
        <v>46291</v>
      </c>
      <c r="C76" s="46"/>
      <c r="F76" s="46"/>
    </row>
    <row r="77" spans="1:20" x14ac:dyDescent="0.35">
      <c r="A77" s="3">
        <v>46293</v>
      </c>
      <c r="C77" s="46"/>
      <c r="F77" s="46"/>
    </row>
    <row r="78" spans="1:20" x14ac:dyDescent="0.35">
      <c r="A78" s="3">
        <v>46294</v>
      </c>
      <c r="C78" s="46"/>
      <c r="F78" s="46"/>
    </row>
    <row r="79" spans="1:20" x14ac:dyDescent="0.35">
      <c r="A79" s="3">
        <v>46295</v>
      </c>
      <c r="C79" s="46"/>
      <c r="F79" s="46"/>
    </row>
    <row r="80" spans="1:20" x14ac:dyDescent="0.35">
      <c r="A80" s="3">
        <v>46296</v>
      </c>
      <c r="C80" s="46"/>
      <c r="F80" s="46"/>
    </row>
    <row r="81" spans="1:1" x14ac:dyDescent="0.35">
      <c r="A81" s="3">
        <v>46297</v>
      </c>
    </row>
    <row r="82" spans="1:1" x14ac:dyDescent="0.35">
      <c r="A82" s="3">
        <v>46298</v>
      </c>
    </row>
    <row r="83" spans="1:1" x14ac:dyDescent="0.35">
      <c r="A83" s="3">
        <v>46300</v>
      </c>
    </row>
    <row r="84" spans="1:1" x14ac:dyDescent="0.35">
      <c r="A84" s="3">
        <v>46302</v>
      </c>
    </row>
    <row r="85" spans="1:1" x14ac:dyDescent="0.35">
      <c r="A85" s="3">
        <v>46304</v>
      </c>
    </row>
    <row r="86" spans="1:1" x14ac:dyDescent="0.35">
      <c r="A86" s="3">
        <v>46306</v>
      </c>
    </row>
    <row r="87" spans="1:1" x14ac:dyDescent="0.35">
      <c r="A87" s="3">
        <v>46308</v>
      </c>
    </row>
    <row r="88" spans="1:1" x14ac:dyDescent="0.35">
      <c r="A88" s="3">
        <v>46310</v>
      </c>
    </row>
    <row r="89" spans="1:1" x14ac:dyDescent="0.35">
      <c r="A89" s="3">
        <v>46312</v>
      </c>
    </row>
  </sheetData>
  <mergeCells count="8">
    <mergeCell ref="V47:W47"/>
    <mergeCell ref="X47:Y47"/>
    <mergeCell ref="Z47:AA47"/>
    <mergeCell ref="L47:M47"/>
    <mergeCell ref="N47:O47"/>
    <mergeCell ref="P47:Q47"/>
    <mergeCell ref="R47:S47"/>
    <mergeCell ref="T47:U4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8579-7C72-4A79-A62B-7B3308B2D781}">
  <dimension ref="A1:AA57"/>
  <sheetViews>
    <sheetView topLeftCell="B21" workbookViewId="0">
      <selection activeCell="G40" sqref="G40"/>
    </sheetView>
  </sheetViews>
  <sheetFormatPr defaultRowHeight="14.5" x14ac:dyDescent="0.35"/>
  <cols>
    <col min="1" max="1" width="16.7265625" bestFit="1" customWidth="1"/>
    <col min="2" max="2" width="15.7265625" bestFit="1" customWidth="1"/>
    <col min="3" max="3" width="12.26953125" bestFit="1" customWidth="1"/>
    <col min="4" max="4" width="7" bestFit="1" customWidth="1"/>
    <col min="5" max="5" width="10.54296875" bestFit="1" customWidth="1"/>
    <col min="6" max="6" width="16.7265625" bestFit="1" customWidth="1"/>
    <col min="7" max="7" width="15.7265625" bestFit="1" customWidth="1"/>
    <col min="8" max="8" width="12.26953125" bestFit="1" customWidth="1"/>
    <col min="9" max="9" width="10.54296875" bestFit="1" customWidth="1"/>
    <col min="10" max="10" width="16.7265625" bestFit="1" customWidth="1"/>
    <col min="11" max="11" width="15.7265625" bestFit="1" customWidth="1"/>
    <col min="12" max="13" width="12.26953125" bestFit="1" customWidth="1"/>
    <col min="14" max="14" width="5.26953125" bestFit="1" customWidth="1"/>
    <col min="15" max="15" width="6" bestFit="1" customWidth="1"/>
    <col min="16" max="16" width="5.26953125" bestFit="1" customWidth="1"/>
    <col min="17" max="17" width="6" bestFit="1" customWidth="1"/>
    <col min="18" max="18" width="5.26953125" bestFit="1" customWidth="1"/>
    <col min="19" max="19" width="6" bestFit="1" customWidth="1"/>
    <col min="20" max="20" width="5.26953125" bestFit="1" customWidth="1"/>
    <col min="21" max="21" width="6" bestFit="1" customWidth="1"/>
    <col min="22" max="22" width="5.26953125" bestFit="1" customWidth="1"/>
    <col min="23" max="23" width="6" bestFit="1" customWidth="1"/>
    <col min="24" max="24" width="5.26953125" bestFit="1" customWidth="1"/>
    <col min="25" max="25" width="6" bestFit="1" customWidth="1"/>
    <col min="26" max="26" width="5.26953125" bestFit="1" customWidth="1"/>
    <col min="27" max="27" width="6" bestFit="1" customWidth="1"/>
  </cols>
  <sheetData>
    <row r="1" spans="1:27" x14ac:dyDescent="0.35">
      <c r="A1" s="12" t="s">
        <v>6</v>
      </c>
      <c r="B1" t="s">
        <v>395</v>
      </c>
    </row>
    <row r="2" spans="1:27" x14ac:dyDescent="0.35">
      <c r="A2" s="12" t="s">
        <v>3</v>
      </c>
      <c r="B2" t="s">
        <v>10</v>
      </c>
    </row>
    <row r="3" spans="1:27" x14ac:dyDescent="0.35">
      <c r="A3" s="12" t="s">
        <v>394</v>
      </c>
      <c r="B3" t="s">
        <v>395</v>
      </c>
    </row>
    <row r="5" spans="1:27" x14ac:dyDescent="0.35">
      <c r="A5" s="12" t="s">
        <v>17</v>
      </c>
      <c r="B5" t="s">
        <v>403</v>
      </c>
      <c r="C5" t="s">
        <v>396</v>
      </c>
      <c r="K5" s="20" t="s">
        <v>404</v>
      </c>
    </row>
    <row r="6" spans="1:27" x14ac:dyDescent="0.35">
      <c r="A6" s="4" t="s">
        <v>21</v>
      </c>
      <c r="B6">
        <v>27</v>
      </c>
      <c r="C6">
        <v>14202</v>
      </c>
    </row>
    <row r="7" spans="1:27" x14ac:dyDescent="0.35">
      <c r="A7" s="4" t="s">
        <v>29</v>
      </c>
      <c r="B7">
        <v>14</v>
      </c>
      <c r="C7">
        <v>7463</v>
      </c>
      <c r="K7" s="8"/>
      <c r="L7" s="97">
        <v>46196</v>
      </c>
      <c r="M7" s="106"/>
      <c r="N7" s="97">
        <v>46197</v>
      </c>
      <c r="O7" s="106"/>
      <c r="P7" s="97">
        <v>46198</v>
      </c>
      <c r="Q7" s="106"/>
      <c r="R7" s="97">
        <v>46199</v>
      </c>
      <c r="S7" s="106"/>
      <c r="T7" s="97">
        <v>46200</v>
      </c>
      <c r="U7" s="106"/>
      <c r="V7" s="97">
        <v>46201</v>
      </c>
      <c r="W7" s="106"/>
      <c r="X7" s="97">
        <v>46202</v>
      </c>
      <c r="Y7" s="106"/>
      <c r="Z7" s="97">
        <v>46203</v>
      </c>
      <c r="AA7" s="106"/>
    </row>
    <row r="8" spans="1:27" x14ac:dyDescent="0.35">
      <c r="A8" s="4" t="s">
        <v>20</v>
      </c>
      <c r="B8">
        <v>41</v>
      </c>
      <c r="C8">
        <v>21665</v>
      </c>
      <c r="K8" s="8"/>
      <c r="L8" s="10" t="s">
        <v>251</v>
      </c>
      <c r="M8" s="10" t="s">
        <v>252</v>
      </c>
      <c r="N8" s="10" t="s">
        <v>251</v>
      </c>
      <c r="O8" s="10" t="s">
        <v>252</v>
      </c>
      <c r="P8" s="10" t="s">
        <v>251</v>
      </c>
      <c r="Q8" s="10" t="s">
        <v>252</v>
      </c>
      <c r="R8" s="10" t="s">
        <v>251</v>
      </c>
      <c r="S8" s="10" t="s">
        <v>252</v>
      </c>
      <c r="T8" s="10" t="s">
        <v>251</v>
      </c>
      <c r="U8" s="10" t="s">
        <v>252</v>
      </c>
      <c r="V8" s="10" t="s">
        <v>251</v>
      </c>
      <c r="W8" s="10" t="s">
        <v>252</v>
      </c>
      <c r="X8" s="10" t="s">
        <v>251</v>
      </c>
      <c r="Y8" s="10" t="s">
        <v>252</v>
      </c>
      <c r="Z8" s="10" t="s">
        <v>251</v>
      </c>
      <c r="AA8" s="10" t="s">
        <v>252</v>
      </c>
    </row>
    <row r="9" spans="1:27" x14ac:dyDescent="0.35">
      <c r="K9" s="8" t="s">
        <v>253</v>
      </c>
      <c r="L9" s="10">
        <v>61</v>
      </c>
      <c r="M9" s="10">
        <v>33067</v>
      </c>
      <c r="N9" s="10">
        <v>61</v>
      </c>
      <c r="O9" s="10">
        <v>33067</v>
      </c>
      <c r="P9" s="10">
        <v>58</v>
      </c>
      <c r="Q9" s="10">
        <v>31567</v>
      </c>
      <c r="R9" s="10">
        <v>58</v>
      </c>
      <c r="S9" s="10">
        <v>31567</v>
      </c>
      <c r="T9" s="10">
        <v>57</v>
      </c>
      <c r="U9" s="10">
        <v>31019</v>
      </c>
      <c r="V9" s="10"/>
      <c r="W9" s="10"/>
      <c r="X9" s="10"/>
      <c r="Y9" s="10"/>
      <c r="Z9" s="10"/>
      <c r="AA9" s="10"/>
    </row>
    <row r="10" spans="1:27" x14ac:dyDescent="0.35">
      <c r="K10" s="8" t="s">
        <v>405</v>
      </c>
      <c r="L10" s="10">
        <v>75</v>
      </c>
      <c r="M10" s="10">
        <v>33404</v>
      </c>
      <c r="N10" s="10">
        <v>65</v>
      </c>
      <c r="O10" s="10">
        <v>28031</v>
      </c>
      <c r="P10" s="10">
        <v>62</v>
      </c>
      <c r="Q10" s="10">
        <v>26531</v>
      </c>
      <c r="R10" s="10">
        <v>56</v>
      </c>
      <c r="S10" s="10">
        <v>23351</v>
      </c>
      <c r="T10" s="10">
        <v>49</v>
      </c>
      <c r="U10" s="10">
        <f>19632+500</f>
        <v>20132</v>
      </c>
      <c r="V10" s="10"/>
      <c r="W10" s="10"/>
      <c r="X10" s="10"/>
      <c r="Y10" s="10"/>
      <c r="Z10" s="10"/>
      <c r="AA10" s="10"/>
    </row>
    <row r="11" spans="1:27" x14ac:dyDescent="0.35">
      <c r="K11" s="8" t="s">
        <v>9</v>
      </c>
      <c r="L11" s="10">
        <v>61</v>
      </c>
      <c r="M11" s="10">
        <v>33930</v>
      </c>
      <c r="N11" s="10">
        <v>61</v>
      </c>
      <c r="O11" s="10">
        <v>33930</v>
      </c>
      <c r="P11" s="10">
        <v>58</v>
      </c>
      <c r="Q11" s="10">
        <v>32430</v>
      </c>
      <c r="R11" s="10">
        <v>57</v>
      </c>
      <c r="S11" s="10">
        <v>31930</v>
      </c>
      <c r="T11" s="10">
        <v>51</v>
      </c>
      <c r="U11" s="10">
        <f>27324+500</f>
        <v>27824</v>
      </c>
      <c r="V11" s="10"/>
      <c r="W11" s="10"/>
      <c r="X11" s="10"/>
      <c r="Y11" s="10"/>
      <c r="Z11" s="10"/>
      <c r="AA11" s="10"/>
    </row>
    <row r="12" spans="1:27" x14ac:dyDescent="0.35"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35">
      <c r="K13" s="8" t="s">
        <v>249</v>
      </c>
      <c r="L13" s="10">
        <f>SUM(L9:L12)</f>
        <v>197</v>
      </c>
      <c r="M13" s="10">
        <f t="shared" ref="M13:U13" si="0">SUM(M9:M12)</f>
        <v>100401</v>
      </c>
      <c r="N13" s="10">
        <f t="shared" si="0"/>
        <v>187</v>
      </c>
      <c r="O13" s="10">
        <f t="shared" si="0"/>
        <v>95028</v>
      </c>
      <c r="P13" s="10">
        <f t="shared" si="0"/>
        <v>178</v>
      </c>
      <c r="Q13" s="10">
        <f t="shared" si="0"/>
        <v>90528</v>
      </c>
      <c r="R13" s="10">
        <f t="shared" si="0"/>
        <v>171</v>
      </c>
      <c r="S13" s="10">
        <f t="shared" si="0"/>
        <v>86848</v>
      </c>
      <c r="T13" s="10">
        <f t="shared" si="0"/>
        <v>157</v>
      </c>
      <c r="U13" s="10">
        <f t="shared" si="0"/>
        <v>78975</v>
      </c>
      <c r="V13" s="10">
        <f t="shared" ref="V13" si="1">SUM(V9:V12)</f>
        <v>0</v>
      </c>
      <c r="W13" s="10">
        <f t="shared" ref="W13" si="2">SUM(W9:W12)</f>
        <v>0</v>
      </c>
      <c r="X13" s="10">
        <f t="shared" ref="X13" si="3">SUM(X9:X12)</f>
        <v>0</v>
      </c>
      <c r="Y13" s="10">
        <f t="shared" ref="Y13" si="4">SUM(Y9:Y12)</f>
        <v>0</v>
      </c>
      <c r="Z13" s="10">
        <f t="shared" ref="Z13" si="5">SUM(Z9:Z12)</f>
        <v>0</v>
      </c>
      <c r="AA13" s="10">
        <f t="shared" ref="AA13" si="6">SUM(AA9:AA12)</f>
        <v>0</v>
      </c>
    </row>
    <row r="19" spans="1:12" x14ac:dyDescent="0.35">
      <c r="A19" s="12" t="s">
        <v>6</v>
      </c>
      <c r="B19" t="s">
        <v>26</v>
      </c>
      <c r="F19" s="12" t="s">
        <v>6</v>
      </c>
      <c r="G19" t="s">
        <v>26</v>
      </c>
      <c r="J19" s="12" t="s">
        <v>6</v>
      </c>
      <c r="K19" t="s">
        <v>26</v>
      </c>
    </row>
    <row r="20" spans="1:12" x14ac:dyDescent="0.35">
      <c r="A20" s="12" t="s">
        <v>3</v>
      </c>
      <c r="B20" t="s">
        <v>281</v>
      </c>
      <c r="F20" s="12" t="s">
        <v>3</v>
      </c>
      <c r="G20" t="s">
        <v>9</v>
      </c>
      <c r="J20" s="12" t="s">
        <v>3</v>
      </c>
      <c r="K20" t="s">
        <v>10</v>
      </c>
    </row>
    <row r="21" spans="1:12" x14ac:dyDescent="0.35">
      <c r="A21" s="12" t="s">
        <v>394</v>
      </c>
      <c r="B21" t="s">
        <v>395</v>
      </c>
      <c r="F21" s="12" t="s">
        <v>394</v>
      </c>
      <c r="G21" t="s">
        <v>395</v>
      </c>
      <c r="J21" s="12" t="s">
        <v>394</v>
      </c>
      <c r="K21" t="s">
        <v>395</v>
      </c>
    </row>
    <row r="23" spans="1:12" x14ac:dyDescent="0.35">
      <c r="A23" s="12" t="s">
        <v>17</v>
      </c>
      <c r="B23" t="s">
        <v>403</v>
      </c>
      <c r="C23" t="s">
        <v>396</v>
      </c>
      <c r="F23" s="12" t="s">
        <v>17</v>
      </c>
      <c r="G23" t="s">
        <v>403</v>
      </c>
      <c r="H23" t="s">
        <v>396</v>
      </c>
      <c r="J23" s="12" t="s">
        <v>17</v>
      </c>
      <c r="K23" t="s">
        <v>403</v>
      </c>
      <c r="L23" t="s">
        <v>396</v>
      </c>
    </row>
    <row r="24" spans="1:12" x14ac:dyDescent="0.35">
      <c r="A24" s="4" t="s">
        <v>20</v>
      </c>
      <c r="F24" s="4" t="s">
        <v>30</v>
      </c>
      <c r="G24">
        <v>2</v>
      </c>
      <c r="H24">
        <v>613</v>
      </c>
      <c r="J24" s="4" t="s">
        <v>30</v>
      </c>
      <c r="K24">
        <v>2</v>
      </c>
      <c r="L24">
        <v>613</v>
      </c>
    </row>
    <row r="25" spans="1:12" x14ac:dyDescent="0.35">
      <c r="F25" s="4" t="s">
        <v>31</v>
      </c>
      <c r="G25">
        <v>1</v>
      </c>
      <c r="H25">
        <v>369</v>
      </c>
      <c r="J25" s="4" t="s">
        <v>31</v>
      </c>
      <c r="K25">
        <v>1</v>
      </c>
      <c r="L25">
        <v>369</v>
      </c>
    </row>
    <row r="26" spans="1:12" x14ac:dyDescent="0.35">
      <c r="F26" s="4" t="s">
        <v>12</v>
      </c>
      <c r="G26">
        <v>7</v>
      </c>
      <c r="H26">
        <v>5454</v>
      </c>
      <c r="J26" s="4" t="s">
        <v>12</v>
      </c>
      <c r="K26">
        <v>7</v>
      </c>
      <c r="L26">
        <v>5454</v>
      </c>
    </row>
    <row r="27" spans="1:12" x14ac:dyDescent="0.35">
      <c r="F27" s="4" t="s">
        <v>61</v>
      </c>
      <c r="G27">
        <v>1</v>
      </c>
      <c r="H27">
        <v>739</v>
      </c>
      <c r="J27" s="4" t="s">
        <v>61</v>
      </c>
      <c r="K27">
        <v>1</v>
      </c>
      <c r="L27">
        <v>739</v>
      </c>
    </row>
    <row r="28" spans="1:12" x14ac:dyDescent="0.35">
      <c r="F28" s="4" t="s">
        <v>42</v>
      </c>
      <c r="G28">
        <v>1</v>
      </c>
      <c r="H28">
        <v>390</v>
      </c>
      <c r="J28" s="4" t="s">
        <v>42</v>
      </c>
      <c r="K28">
        <v>1</v>
      </c>
      <c r="L28">
        <v>390</v>
      </c>
    </row>
    <row r="29" spans="1:12" x14ac:dyDescent="0.35">
      <c r="F29" s="4" t="s">
        <v>39</v>
      </c>
      <c r="G29">
        <v>1</v>
      </c>
      <c r="H29">
        <v>924</v>
      </c>
      <c r="J29" s="4" t="s">
        <v>39</v>
      </c>
      <c r="K29">
        <v>1</v>
      </c>
      <c r="L29">
        <v>924</v>
      </c>
    </row>
    <row r="30" spans="1:12" x14ac:dyDescent="0.35">
      <c r="F30" s="4" t="s">
        <v>37</v>
      </c>
      <c r="G30">
        <v>3</v>
      </c>
      <c r="H30">
        <v>1206</v>
      </c>
      <c r="J30" s="4" t="s">
        <v>37</v>
      </c>
      <c r="K30">
        <v>3</v>
      </c>
      <c r="L30">
        <v>1206</v>
      </c>
    </row>
    <row r="31" spans="1:12" x14ac:dyDescent="0.35">
      <c r="F31" s="4" t="s">
        <v>46</v>
      </c>
      <c r="G31">
        <v>1</v>
      </c>
      <c r="H31">
        <v>488</v>
      </c>
      <c r="J31" s="4" t="s">
        <v>46</v>
      </c>
      <c r="K31">
        <v>1</v>
      </c>
      <c r="L31">
        <v>488</v>
      </c>
    </row>
    <row r="32" spans="1:12" x14ac:dyDescent="0.35">
      <c r="F32" s="4" t="s">
        <v>79</v>
      </c>
      <c r="G32">
        <v>2</v>
      </c>
      <c r="H32">
        <v>1165</v>
      </c>
      <c r="J32" s="4" t="s">
        <v>21</v>
      </c>
      <c r="K32">
        <v>26</v>
      </c>
      <c r="L32">
        <v>13983</v>
      </c>
    </row>
    <row r="33" spans="6:12" x14ac:dyDescent="0.35">
      <c r="F33" s="4" t="s">
        <v>289</v>
      </c>
      <c r="G33">
        <v>3</v>
      </c>
      <c r="H33">
        <v>3019</v>
      </c>
      <c r="J33" s="4" t="s">
        <v>79</v>
      </c>
      <c r="K33">
        <v>2</v>
      </c>
      <c r="L33">
        <v>1165</v>
      </c>
    </row>
    <row r="34" spans="6:12" x14ac:dyDescent="0.35">
      <c r="F34" s="4" t="s">
        <v>45</v>
      </c>
      <c r="G34">
        <v>3</v>
      </c>
      <c r="H34">
        <v>1032</v>
      </c>
      <c r="J34" s="4" t="s">
        <v>29</v>
      </c>
      <c r="K34">
        <v>14</v>
      </c>
      <c r="L34">
        <v>7463</v>
      </c>
    </row>
    <row r="35" spans="6:12" x14ac:dyDescent="0.35">
      <c r="F35" s="4" t="s">
        <v>34</v>
      </c>
      <c r="G35">
        <v>4</v>
      </c>
      <c r="H35">
        <v>1573</v>
      </c>
      <c r="J35" s="4" t="s">
        <v>289</v>
      </c>
      <c r="K35">
        <v>3</v>
      </c>
      <c r="L35">
        <v>3019</v>
      </c>
    </row>
    <row r="36" spans="6:12" x14ac:dyDescent="0.35">
      <c r="F36" s="4" t="s">
        <v>20</v>
      </c>
      <c r="G36">
        <v>29</v>
      </c>
      <c r="H36">
        <v>16972</v>
      </c>
      <c r="J36" s="4" t="s">
        <v>45</v>
      </c>
      <c r="K36">
        <v>3</v>
      </c>
      <c r="L36">
        <v>1032</v>
      </c>
    </row>
    <row r="37" spans="6:12" x14ac:dyDescent="0.35">
      <c r="J37" s="4" t="s">
        <v>34</v>
      </c>
      <c r="K37">
        <v>4</v>
      </c>
      <c r="L37">
        <v>1573</v>
      </c>
    </row>
    <row r="38" spans="6:12" x14ac:dyDescent="0.35">
      <c r="J38" s="4" t="s">
        <v>26</v>
      </c>
      <c r="L38">
        <v>6716</v>
      </c>
    </row>
    <row r="39" spans="6:12" x14ac:dyDescent="0.35">
      <c r="J39" s="4" t="s">
        <v>268</v>
      </c>
      <c r="K39">
        <v>5</v>
      </c>
      <c r="L39">
        <v>2082</v>
      </c>
    </row>
    <row r="40" spans="6:12" x14ac:dyDescent="0.35">
      <c r="J40" s="4" t="s">
        <v>406</v>
      </c>
      <c r="K40">
        <v>1</v>
      </c>
      <c r="L40">
        <v>343</v>
      </c>
    </row>
    <row r="41" spans="6:12" x14ac:dyDescent="0.35">
      <c r="J41" s="4" t="s">
        <v>407</v>
      </c>
      <c r="K41">
        <v>1</v>
      </c>
      <c r="L41">
        <v>610</v>
      </c>
    </row>
    <row r="42" spans="6:12" x14ac:dyDescent="0.35">
      <c r="J42" s="4" t="s">
        <v>20</v>
      </c>
      <c r="K42">
        <v>76</v>
      </c>
      <c r="L42">
        <v>48169</v>
      </c>
    </row>
    <row r="54" spans="6:6" x14ac:dyDescent="0.35">
      <c r="F54">
        <v>51</v>
      </c>
    </row>
    <row r="55" spans="6:6" x14ac:dyDescent="0.35">
      <c r="F55">
        <v>3</v>
      </c>
    </row>
    <row r="56" spans="6:6" x14ac:dyDescent="0.35">
      <c r="F56">
        <v>41</v>
      </c>
    </row>
    <row r="57" spans="6:6" x14ac:dyDescent="0.35">
      <c r="F57">
        <f>SUM(F54:F56)</f>
        <v>95</v>
      </c>
    </row>
  </sheetData>
  <mergeCells count="8">
    <mergeCell ref="X7:Y7"/>
    <mergeCell ref="Z7:AA7"/>
    <mergeCell ref="L7:M7"/>
    <mergeCell ref="N7:O7"/>
    <mergeCell ref="P7:Q7"/>
    <mergeCell ref="R7:S7"/>
    <mergeCell ref="T7:U7"/>
    <mergeCell ref="V7:W7"/>
  </mergeCells>
  <pageMargins left="0.7" right="0.7" top="0.75" bottom="0.75" header="0.3" footer="0.3"/>
  <pageSetup paperSize="9"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444D-4912-4892-B495-F7E38C63393D}">
  <dimension ref="A1"/>
  <sheetViews>
    <sheetView topLeftCell="A35" zoomScale="56" zoomScaleNormal="56" workbookViewId="0">
      <selection activeCell="J74" sqref="J7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E862-8943-4B56-8EA1-468FEE3A700D}">
  <dimension ref="A1:M30"/>
  <sheetViews>
    <sheetView zoomScale="60" zoomScaleNormal="60" workbookViewId="0">
      <selection activeCell="B16" sqref="B16"/>
    </sheetView>
  </sheetViews>
  <sheetFormatPr defaultRowHeight="14.5" x14ac:dyDescent="0.35"/>
  <cols>
    <col min="1" max="1" width="36.1796875" bestFit="1" customWidth="1"/>
    <col min="2" max="2" width="16.453125" bestFit="1" customWidth="1"/>
  </cols>
  <sheetData>
    <row r="1" spans="1:2" x14ac:dyDescent="0.35">
      <c r="A1" s="12" t="s">
        <v>408</v>
      </c>
      <c r="B1" t="s">
        <v>26</v>
      </c>
    </row>
    <row r="3" spans="1:2" x14ac:dyDescent="0.35">
      <c r="A3" s="12" t="s">
        <v>17</v>
      </c>
      <c r="B3" t="s">
        <v>409</v>
      </c>
    </row>
    <row r="4" spans="1:2" x14ac:dyDescent="0.35">
      <c r="A4" s="4" t="s">
        <v>410</v>
      </c>
      <c r="B4">
        <v>18</v>
      </c>
    </row>
    <row r="5" spans="1:2" x14ac:dyDescent="0.35">
      <c r="A5" s="47" t="s">
        <v>411</v>
      </c>
      <c r="B5">
        <v>7</v>
      </c>
    </row>
    <row r="6" spans="1:2" x14ac:dyDescent="0.35">
      <c r="A6" s="47" t="s">
        <v>412</v>
      </c>
      <c r="B6">
        <v>9</v>
      </c>
    </row>
    <row r="7" spans="1:2" x14ac:dyDescent="0.35">
      <c r="A7" s="47" t="s">
        <v>9</v>
      </c>
      <c r="B7">
        <v>1</v>
      </c>
    </row>
    <row r="8" spans="1:2" x14ac:dyDescent="0.35">
      <c r="A8" s="47" t="s">
        <v>296</v>
      </c>
      <c r="B8">
        <v>1</v>
      </c>
    </row>
    <row r="9" spans="1:2" x14ac:dyDescent="0.35">
      <c r="A9" s="4" t="s">
        <v>413</v>
      </c>
      <c r="B9">
        <v>10</v>
      </c>
    </row>
    <row r="10" spans="1:2" x14ac:dyDescent="0.35">
      <c r="A10" s="47" t="s">
        <v>112</v>
      </c>
      <c r="B10">
        <v>2</v>
      </c>
    </row>
    <row r="11" spans="1:2" x14ac:dyDescent="0.35">
      <c r="A11" s="47" t="s">
        <v>411</v>
      </c>
      <c r="B11">
        <v>3</v>
      </c>
    </row>
    <row r="12" spans="1:2" x14ac:dyDescent="0.35">
      <c r="A12" s="47" t="s">
        <v>412</v>
      </c>
      <c r="B12">
        <v>5</v>
      </c>
    </row>
    <row r="13" spans="1:2" x14ac:dyDescent="0.35">
      <c r="A13" s="4" t="s">
        <v>414</v>
      </c>
      <c r="B13">
        <v>3</v>
      </c>
    </row>
    <row r="14" spans="1:2" x14ac:dyDescent="0.35">
      <c r="A14" s="47" t="s">
        <v>415</v>
      </c>
      <c r="B14">
        <v>3</v>
      </c>
    </row>
    <row r="15" spans="1:2" x14ac:dyDescent="0.35">
      <c r="A15" s="4" t="s">
        <v>13</v>
      </c>
      <c r="B15">
        <v>3</v>
      </c>
    </row>
    <row r="16" spans="1:2" x14ac:dyDescent="0.35">
      <c r="A16" s="47" t="s">
        <v>411</v>
      </c>
      <c r="B16">
        <v>2</v>
      </c>
    </row>
    <row r="17" spans="1:13" x14ac:dyDescent="0.35">
      <c r="A17" s="47" t="s">
        <v>415</v>
      </c>
      <c r="B17">
        <v>1</v>
      </c>
    </row>
    <row r="18" spans="1:13" x14ac:dyDescent="0.35">
      <c r="A18" s="4" t="s">
        <v>416</v>
      </c>
      <c r="B18">
        <v>6</v>
      </c>
    </row>
    <row r="19" spans="1:13" x14ac:dyDescent="0.35">
      <c r="A19" s="47" t="s">
        <v>411</v>
      </c>
      <c r="B19">
        <v>1</v>
      </c>
    </row>
    <row r="20" spans="1:13" x14ac:dyDescent="0.35">
      <c r="A20" s="47" t="s">
        <v>412</v>
      </c>
      <c r="B20">
        <v>4</v>
      </c>
    </row>
    <row r="21" spans="1:13" x14ac:dyDescent="0.35">
      <c r="A21" s="47" t="s">
        <v>417</v>
      </c>
      <c r="B21">
        <v>1</v>
      </c>
    </row>
    <row r="22" spans="1:13" x14ac:dyDescent="0.35">
      <c r="A22" s="4" t="s">
        <v>26</v>
      </c>
    </row>
    <row r="23" spans="1:13" x14ac:dyDescent="0.35">
      <c r="A23" s="47" t="s">
        <v>26</v>
      </c>
    </row>
    <row r="24" spans="1:13" x14ac:dyDescent="0.35">
      <c r="A24" s="4" t="s">
        <v>418</v>
      </c>
      <c r="B24">
        <v>8</v>
      </c>
    </row>
    <row r="25" spans="1:13" x14ac:dyDescent="0.35">
      <c r="A25" s="47" t="s">
        <v>112</v>
      </c>
      <c r="B25">
        <v>1</v>
      </c>
    </row>
    <row r="26" spans="1:13" x14ac:dyDescent="0.35">
      <c r="A26" s="47" t="s">
        <v>170</v>
      </c>
      <c r="B26">
        <v>1</v>
      </c>
    </row>
    <row r="27" spans="1:13" x14ac:dyDescent="0.35">
      <c r="A27" s="47" t="s">
        <v>26</v>
      </c>
      <c r="B27">
        <v>6</v>
      </c>
      <c r="M27" t="s">
        <v>419</v>
      </c>
    </row>
    <row r="28" spans="1:13" x14ac:dyDescent="0.35">
      <c r="A28" s="4" t="s">
        <v>420</v>
      </c>
      <c r="B28">
        <v>7</v>
      </c>
    </row>
    <row r="29" spans="1:13" x14ac:dyDescent="0.35">
      <c r="A29" s="47" t="s">
        <v>421</v>
      </c>
      <c r="B29">
        <v>7</v>
      </c>
    </row>
    <row r="30" spans="1:13" x14ac:dyDescent="0.35">
      <c r="A30" s="4" t="s">
        <v>20</v>
      </c>
      <c r="B30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B984-BA49-4525-9710-F61743336F5D}">
  <sheetPr filterMode="1"/>
  <dimension ref="B2:O200"/>
  <sheetViews>
    <sheetView zoomScale="80" zoomScaleNormal="80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F156" sqref="F156:I156"/>
    </sheetView>
  </sheetViews>
  <sheetFormatPr defaultRowHeight="14.5" x14ac:dyDescent="0.35"/>
  <cols>
    <col min="2" max="2" width="4.1796875" customWidth="1"/>
    <col min="3" max="3" width="11.26953125" customWidth="1"/>
    <col min="4" max="4" width="9.7265625" bestFit="1" customWidth="1"/>
    <col min="6" max="6" width="55.7265625" bestFit="1" customWidth="1"/>
    <col min="7" max="7" width="13" customWidth="1"/>
    <col min="8" max="8" width="11.26953125" customWidth="1"/>
    <col min="9" max="9" width="9.81640625" customWidth="1"/>
    <col min="10" max="10" width="13.7265625" customWidth="1"/>
    <col min="14" max="14" width="19.453125" bestFit="1" customWidth="1"/>
    <col min="15" max="15" width="12.26953125" bestFit="1" customWidth="1"/>
    <col min="16" max="16" width="6.453125" bestFit="1" customWidth="1"/>
    <col min="17" max="17" width="7.54296875" bestFit="1" customWidth="1"/>
    <col min="18" max="18" width="6.453125" bestFit="1" customWidth="1"/>
    <col min="19" max="19" width="7.54296875" bestFit="1" customWidth="1"/>
    <col min="20" max="20" width="5.81640625" bestFit="1" customWidth="1"/>
    <col min="21" max="21" width="6.1796875" bestFit="1" customWidth="1"/>
    <col min="22" max="23" width="5.81640625" bestFit="1" customWidth="1"/>
    <col min="24" max="24" width="10.54296875" bestFit="1" customWidth="1"/>
  </cols>
  <sheetData>
    <row r="2" spans="2:15" ht="34.15" customHeight="1" x14ac:dyDescent="0.35">
      <c r="B2" s="28" t="s">
        <v>274</v>
      </c>
      <c r="C2" s="49" t="s">
        <v>422</v>
      </c>
      <c r="D2" s="28" t="s">
        <v>2</v>
      </c>
      <c r="E2" s="28" t="s">
        <v>423</v>
      </c>
      <c r="F2" s="28" t="s">
        <v>424</v>
      </c>
      <c r="G2" s="49" t="s">
        <v>425</v>
      </c>
      <c r="H2" s="49" t="s">
        <v>426</v>
      </c>
      <c r="I2" s="49" t="s">
        <v>408</v>
      </c>
      <c r="J2" s="49" t="s">
        <v>427</v>
      </c>
      <c r="K2" s="49" t="s">
        <v>428</v>
      </c>
      <c r="N2" s="12" t="s">
        <v>408</v>
      </c>
      <c r="O2" t="s">
        <v>26</v>
      </c>
    </row>
    <row r="3" spans="2:15" hidden="1" x14ac:dyDescent="0.35">
      <c r="B3">
        <v>1</v>
      </c>
      <c r="C3">
        <v>2653</v>
      </c>
      <c r="D3" t="s">
        <v>429</v>
      </c>
      <c r="F3" t="s">
        <v>430</v>
      </c>
      <c r="H3" s="50">
        <v>46231</v>
      </c>
      <c r="I3" s="58">
        <v>46240</v>
      </c>
      <c r="J3" t="s">
        <v>13</v>
      </c>
      <c r="K3">
        <v>4</v>
      </c>
    </row>
    <row r="4" spans="2:15" x14ac:dyDescent="0.35">
      <c r="B4">
        <v>95</v>
      </c>
      <c r="C4">
        <v>1</v>
      </c>
      <c r="D4" t="s">
        <v>75</v>
      </c>
      <c r="F4" t="s">
        <v>411</v>
      </c>
      <c r="H4" s="3">
        <v>46223</v>
      </c>
      <c r="J4" t="s">
        <v>410</v>
      </c>
      <c r="K4">
        <v>1</v>
      </c>
      <c r="N4" s="12" t="s">
        <v>17</v>
      </c>
      <c r="O4" t="s">
        <v>409</v>
      </c>
    </row>
    <row r="5" spans="2:15" hidden="1" x14ac:dyDescent="0.35">
      <c r="B5">
        <v>3</v>
      </c>
      <c r="C5">
        <v>162</v>
      </c>
      <c r="D5" t="s">
        <v>80</v>
      </c>
      <c r="F5" t="s">
        <v>431</v>
      </c>
      <c r="H5" s="3">
        <v>46235</v>
      </c>
      <c r="I5" s="58">
        <v>46248</v>
      </c>
      <c r="J5" t="s">
        <v>13</v>
      </c>
      <c r="K5">
        <v>2</v>
      </c>
      <c r="N5" s="4" t="s">
        <v>410</v>
      </c>
      <c r="O5">
        <v>10</v>
      </c>
    </row>
    <row r="6" spans="2:15" hidden="1" x14ac:dyDescent="0.35">
      <c r="B6">
        <v>4</v>
      </c>
      <c r="C6">
        <v>163</v>
      </c>
      <c r="D6" t="s">
        <v>80</v>
      </c>
      <c r="F6" t="s">
        <v>431</v>
      </c>
      <c r="H6" s="3">
        <v>46235</v>
      </c>
      <c r="I6" s="58">
        <v>46248</v>
      </c>
      <c r="J6" t="s">
        <v>13</v>
      </c>
      <c r="K6">
        <v>2</v>
      </c>
      <c r="N6" s="47" t="s">
        <v>112</v>
      </c>
      <c r="O6">
        <v>1</v>
      </c>
    </row>
    <row r="7" spans="2:15" hidden="1" x14ac:dyDescent="0.35">
      <c r="B7">
        <v>5</v>
      </c>
      <c r="C7">
        <v>164</v>
      </c>
      <c r="D7" t="s">
        <v>432</v>
      </c>
      <c r="F7" t="s">
        <v>433</v>
      </c>
      <c r="H7" s="3">
        <v>46235</v>
      </c>
      <c r="I7" s="58">
        <v>46248</v>
      </c>
      <c r="J7" t="s">
        <v>13</v>
      </c>
      <c r="K7">
        <v>1</v>
      </c>
      <c r="N7" s="47" t="s">
        <v>411</v>
      </c>
      <c r="O7">
        <v>3</v>
      </c>
    </row>
    <row r="8" spans="2:15" x14ac:dyDescent="0.35">
      <c r="B8">
        <v>146</v>
      </c>
      <c r="C8">
        <v>142</v>
      </c>
      <c r="D8" t="s">
        <v>434</v>
      </c>
      <c r="F8" t="s">
        <v>412</v>
      </c>
      <c r="H8" s="3">
        <v>46230</v>
      </c>
      <c r="J8" t="s">
        <v>410</v>
      </c>
      <c r="K8">
        <v>1</v>
      </c>
      <c r="N8" s="47" t="s">
        <v>412</v>
      </c>
      <c r="O8">
        <v>4</v>
      </c>
    </row>
    <row r="9" spans="2:15" hidden="1" x14ac:dyDescent="0.35">
      <c r="B9">
        <v>7</v>
      </c>
      <c r="C9">
        <v>105</v>
      </c>
      <c r="D9" t="s">
        <v>73</v>
      </c>
      <c r="F9" t="s">
        <v>60</v>
      </c>
      <c r="H9" s="3">
        <v>46235</v>
      </c>
      <c r="I9" s="58">
        <v>46246</v>
      </c>
      <c r="J9" t="s">
        <v>418</v>
      </c>
      <c r="K9">
        <v>3</v>
      </c>
      <c r="N9" s="47" t="s">
        <v>9</v>
      </c>
      <c r="O9">
        <v>1</v>
      </c>
    </row>
    <row r="10" spans="2:15" hidden="1" x14ac:dyDescent="0.35">
      <c r="B10">
        <v>8</v>
      </c>
      <c r="C10">
        <v>166</v>
      </c>
      <c r="D10" t="s">
        <v>324</v>
      </c>
      <c r="F10" t="s">
        <v>112</v>
      </c>
      <c r="H10" s="3">
        <v>46235</v>
      </c>
      <c r="I10" s="58">
        <v>46255</v>
      </c>
      <c r="J10" t="s">
        <v>418</v>
      </c>
      <c r="K10">
        <v>2</v>
      </c>
      <c r="N10" s="47" t="s">
        <v>435</v>
      </c>
      <c r="O10">
        <v>1</v>
      </c>
    </row>
    <row r="11" spans="2:15" hidden="1" x14ac:dyDescent="0.35">
      <c r="B11">
        <v>9</v>
      </c>
      <c r="C11">
        <v>167</v>
      </c>
      <c r="D11" t="s">
        <v>53</v>
      </c>
      <c r="F11" t="s">
        <v>170</v>
      </c>
      <c r="H11" s="3">
        <v>46235</v>
      </c>
      <c r="I11" s="58">
        <v>46246</v>
      </c>
      <c r="J11" t="s">
        <v>418</v>
      </c>
      <c r="K11">
        <v>3</v>
      </c>
      <c r="N11" s="4" t="s">
        <v>13</v>
      </c>
      <c r="O11">
        <v>2</v>
      </c>
    </row>
    <row r="12" spans="2:15" hidden="1" x14ac:dyDescent="0.35">
      <c r="B12">
        <v>10</v>
      </c>
      <c r="C12">
        <v>168</v>
      </c>
      <c r="D12" t="s">
        <v>49</v>
      </c>
      <c r="F12" t="s">
        <v>170</v>
      </c>
      <c r="H12" s="3">
        <v>46235</v>
      </c>
      <c r="I12" s="58">
        <v>46255</v>
      </c>
      <c r="J12" t="s">
        <v>418</v>
      </c>
      <c r="K12">
        <v>3</v>
      </c>
      <c r="N12" s="47" t="s">
        <v>415</v>
      </c>
      <c r="O12">
        <v>2</v>
      </c>
    </row>
    <row r="13" spans="2:15" hidden="1" x14ac:dyDescent="0.35">
      <c r="B13">
        <v>11</v>
      </c>
      <c r="C13">
        <v>169</v>
      </c>
      <c r="D13" t="s">
        <v>295</v>
      </c>
      <c r="F13" t="s">
        <v>417</v>
      </c>
      <c r="H13" s="3">
        <v>46235</v>
      </c>
      <c r="I13" s="58">
        <v>46246</v>
      </c>
      <c r="J13" t="s">
        <v>418</v>
      </c>
      <c r="K13">
        <v>2</v>
      </c>
      <c r="N13" s="4" t="s">
        <v>416</v>
      </c>
      <c r="O13">
        <v>7</v>
      </c>
    </row>
    <row r="14" spans="2:15" hidden="1" x14ac:dyDescent="0.35">
      <c r="B14">
        <v>12</v>
      </c>
      <c r="C14">
        <v>180</v>
      </c>
      <c r="D14" t="s">
        <v>61</v>
      </c>
      <c r="F14" t="s">
        <v>417</v>
      </c>
      <c r="H14" s="3">
        <v>46235</v>
      </c>
      <c r="I14" s="58">
        <v>46255</v>
      </c>
      <c r="J14" t="s">
        <v>416</v>
      </c>
      <c r="K14">
        <v>3</v>
      </c>
      <c r="N14" s="47" t="s">
        <v>411</v>
      </c>
      <c r="O14">
        <v>3</v>
      </c>
    </row>
    <row r="15" spans="2:15" x14ac:dyDescent="0.35">
      <c r="B15">
        <v>54</v>
      </c>
      <c r="C15">
        <v>151</v>
      </c>
      <c r="D15" t="s">
        <v>53</v>
      </c>
      <c r="F15" t="s">
        <v>112</v>
      </c>
      <c r="H15" s="3">
        <v>46231</v>
      </c>
      <c r="J15" t="s">
        <v>436</v>
      </c>
      <c r="K15">
        <v>1</v>
      </c>
      <c r="N15" s="47" t="s">
        <v>412</v>
      </c>
      <c r="O15">
        <v>3</v>
      </c>
    </row>
    <row r="16" spans="2:15" hidden="1" x14ac:dyDescent="0.35">
      <c r="B16">
        <v>14</v>
      </c>
      <c r="C16">
        <v>79</v>
      </c>
      <c r="D16" t="s">
        <v>292</v>
      </c>
      <c r="F16" t="s">
        <v>411</v>
      </c>
      <c r="H16" s="3">
        <v>46235</v>
      </c>
      <c r="I16" s="58">
        <v>46267</v>
      </c>
      <c r="J16" t="s">
        <v>416</v>
      </c>
      <c r="K16">
        <v>2</v>
      </c>
      <c r="N16" s="47" t="s">
        <v>9</v>
      </c>
      <c r="O16">
        <v>1</v>
      </c>
    </row>
    <row r="17" spans="2:15" hidden="1" x14ac:dyDescent="0.35">
      <c r="B17">
        <v>15</v>
      </c>
      <c r="C17">
        <v>182</v>
      </c>
      <c r="D17" t="s">
        <v>73</v>
      </c>
      <c r="F17" t="s">
        <v>412</v>
      </c>
      <c r="H17" s="3">
        <v>46235</v>
      </c>
      <c r="I17" s="58">
        <v>46246</v>
      </c>
      <c r="J17" t="s">
        <v>416</v>
      </c>
      <c r="K17">
        <v>1</v>
      </c>
      <c r="N17" s="4" t="s">
        <v>26</v>
      </c>
      <c r="O17">
        <v>3</v>
      </c>
    </row>
    <row r="18" spans="2:15" hidden="1" x14ac:dyDescent="0.35">
      <c r="B18">
        <v>16</v>
      </c>
      <c r="C18">
        <v>183</v>
      </c>
      <c r="D18" t="s">
        <v>49</v>
      </c>
      <c r="F18" t="s">
        <v>412</v>
      </c>
      <c r="H18" s="3">
        <v>46235</v>
      </c>
      <c r="I18" s="58">
        <v>46255</v>
      </c>
      <c r="J18" t="s">
        <v>416</v>
      </c>
      <c r="K18">
        <v>1</v>
      </c>
      <c r="N18" s="47" t="s">
        <v>26</v>
      </c>
      <c r="O18">
        <v>3</v>
      </c>
    </row>
    <row r="19" spans="2:15" hidden="1" x14ac:dyDescent="0.35">
      <c r="B19">
        <v>17</v>
      </c>
      <c r="C19">
        <v>184</v>
      </c>
      <c r="D19" t="s">
        <v>53</v>
      </c>
      <c r="F19" t="s">
        <v>412</v>
      </c>
      <c r="H19" s="3">
        <v>46235</v>
      </c>
      <c r="I19" s="58">
        <v>46248</v>
      </c>
      <c r="J19" t="s">
        <v>416</v>
      </c>
      <c r="K19">
        <v>1</v>
      </c>
      <c r="N19" s="4" t="s">
        <v>436</v>
      </c>
      <c r="O19">
        <v>5</v>
      </c>
    </row>
    <row r="20" spans="2:15" x14ac:dyDescent="0.35">
      <c r="B20">
        <v>50</v>
      </c>
      <c r="C20">
        <v>153</v>
      </c>
      <c r="D20" t="s">
        <v>21</v>
      </c>
      <c r="F20" t="s">
        <v>415</v>
      </c>
      <c r="H20" s="3">
        <v>46235</v>
      </c>
      <c r="J20" t="s">
        <v>13</v>
      </c>
      <c r="K20">
        <v>4</v>
      </c>
      <c r="N20" s="47" t="s">
        <v>112</v>
      </c>
      <c r="O20">
        <v>3</v>
      </c>
    </row>
    <row r="21" spans="2:15" hidden="1" x14ac:dyDescent="0.35">
      <c r="B21">
        <v>19</v>
      </c>
      <c r="C21">
        <v>82</v>
      </c>
      <c r="D21" t="s">
        <v>53</v>
      </c>
      <c r="F21" t="s">
        <v>412</v>
      </c>
      <c r="H21" s="3">
        <v>46235</v>
      </c>
      <c r="I21" s="58">
        <v>46267</v>
      </c>
      <c r="J21" t="s">
        <v>416</v>
      </c>
      <c r="K21">
        <v>1</v>
      </c>
      <c r="N21" s="47" t="s">
        <v>9</v>
      </c>
      <c r="O21">
        <v>1</v>
      </c>
    </row>
    <row r="22" spans="2:15" x14ac:dyDescent="0.35">
      <c r="B22">
        <v>49</v>
      </c>
      <c r="C22">
        <v>156</v>
      </c>
      <c r="D22" t="s">
        <v>21</v>
      </c>
      <c r="F22" t="s">
        <v>415</v>
      </c>
      <c r="H22" s="3">
        <v>46235</v>
      </c>
      <c r="J22" t="s">
        <v>13</v>
      </c>
      <c r="K22">
        <v>4</v>
      </c>
      <c r="N22" s="47" t="s">
        <v>437</v>
      </c>
      <c r="O22">
        <v>1</v>
      </c>
    </row>
    <row r="23" spans="2:15" x14ac:dyDescent="0.35">
      <c r="B23">
        <v>2</v>
      </c>
      <c r="C23">
        <v>161</v>
      </c>
      <c r="D23" t="s">
        <v>34</v>
      </c>
      <c r="F23" t="s">
        <v>411</v>
      </c>
      <c r="H23" s="3">
        <v>46235</v>
      </c>
      <c r="J23" t="s">
        <v>416</v>
      </c>
      <c r="K23">
        <v>1</v>
      </c>
      <c r="N23" s="4" t="s">
        <v>438</v>
      </c>
      <c r="O23">
        <v>1</v>
      </c>
    </row>
    <row r="24" spans="2:15" hidden="1" x14ac:dyDescent="0.35">
      <c r="B24">
        <v>22</v>
      </c>
      <c r="C24">
        <v>17196</v>
      </c>
      <c r="D24" t="s">
        <v>53</v>
      </c>
      <c r="F24" t="s">
        <v>439</v>
      </c>
      <c r="H24" s="3">
        <v>46235</v>
      </c>
      <c r="I24" s="58">
        <v>46245</v>
      </c>
      <c r="J24" t="s">
        <v>410</v>
      </c>
      <c r="K24">
        <v>1</v>
      </c>
      <c r="N24" s="47" t="s">
        <v>296</v>
      </c>
      <c r="O24">
        <v>1</v>
      </c>
    </row>
    <row r="25" spans="2:15" hidden="1" x14ac:dyDescent="0.35">
      <c r="B25">
        <v>23</v>
      </c>
      <c r="C25">
        <v>186</v>
      </c>
      <c r="D25" t="s">
        <v>53</v>
      </c>
      <c r="F25" t="s">
        <v>412</v>
      </c>
      <c r="H25" s="3">
        <v>46235</v>
      </c>
      <c r="I25" s="58">
        <v>46248</v>
      </c>
      <c r="J25" t="s">
        <v>410</v>
      </c>
      <c r="K25">
        <v>2</v>
      </c>
      <c r="N25" s="4" t="s">
        <v>440</v>
      </c>
      <c r="O25">
        <v>2</v>
      </c>
    </row>
    <row r="26" spans="2:15" hidden="1" x14ac:dyDescent="0.35">
      <c r="B26">
        <v>24</v>
      </c>
      <c r="C26">
        <v>187</v>
      </c>
      <c r="D26" t="s">
        <v>49</v>
      </c>
      <c r="F26" t="s">
        <v>412</v>
      </c>
      <c r="H26" s="3">
        <v>46235</v>
      </c>
      <c r="I26" s="58">
        <v>46267</v>
      </c>
      <c r="J26" t="s">
        <v>410</v>
      </c>
      <c r="K26">
        <v>2</v>
      </c>
      <c r="N26" s="47" t="s">
        <v>296</v>
      </c>
      <c r="O26">
        <v>1</v>
      </c>
    </row>
    <row r="27" spans="2:15" hidden="1" x14ac:dyDescent="0.35">
      <c r="B27">
        <v>25</v>
      </c>
      <c r="C27">
        <v>85</v>
      </c>
      <c r="D27" t="s">
        <v>49</v>
      </c>
      <c r="F27" t="s">
        <v>412</v>
      </c>
      <c r="H27" s="3">
        <v>46235</v>
      </c>
      <c r="I27" s="58">
        <v>46240</v>
      </c>
      <c r="J27" t="s">
        <v>410</v>
      </c>
      <c r="K27">
        <v>2</v>
      </c>
      <c r="N27" s="47" t="s">
        <v>435</v>
      </c>
      <c r="O27">
        <v>1</v>
      </c>
    </row>
    <row r="28" spans="2:15" hidden="1" x14ac:dyDescent="0.35">
      <c r="B28">
        <v>26</v>
      </c>
      <c r="C28">
        <v>188</v>
      </c>
      <c r="D28" t="s">
        <v>441</v>
      </c>
      <c r="F28" t="s">
        <v>412</v>
      </c>
      <c r="H28" s="3">
        <v>46235</v>
      </c>
      <c r="I28" s="58">
        <v>46248</v>
      </c>
      <c r="J28" t="s">
        <v>410</v>
      </c>
      <c r="K28">
        <v>1</v>
      </c>
      <c r="N28" s="4" t="s">
        <v>442</v>
      </c>
      <c r="O28">
        <v>2</v>
      </c>
    </row>
    <row r="29" spans="2:15" x14ac:dyDescent="0.35">
      <c r="B29">
        <v>6</v>
      </c>
      <c r="C29">
        <v>165</v>
      </c>
      <c r="D29" t="s">
        <v>34</v>
      </c>
      <c r="F29" t="s">
        <v>411</v>
      </c>
      <c r="H29" s="3">
        <v>46235</v>
      </c>
      <c r="J29" t="s">
        <v>416</v>
      </c>
      <c r="K29">
        <v>1</v>
      </c>
      <c r="N29" s="47" t="s">
        <v>411</v>
      </c>
      <c r="O29">
        <v>2</v>
      </c>
    </row>
    <row r="30" spans="2:15" x14ac:dyDescent="0.35">
      <c r="B30">
        <v>13</v>
      </c>
      <c r="C30">
        <v>181</v>
      </c>
      <c r="D30" t="s">
        <v>292</v>
      </c>
      <c r="F30" t="s">
        <v>412</v>
      </c>
      <c r="H30" s="3">
        <v>46235</v>
      </c>
      <c r="J30" t="s">
        <v>416</v>
      </c>
      <c r="K30">
        <v>1</v>
      </c>
      <c r="N30" s="4" t="s">
        <v>443</v>
      </c>
      <c r="O30">
        <v>1</v>
      </c>
    </row>
    <row r="31" spans="2:15" hidden="1" x14ac:dyDescent="0.35">
      <c r="B31">
        <v>29</v>
      </c>
      <c r="C31">
        <v>114</v>
      </c>
      <c r="D31" t="s">
        <v>49</v>
      </c>
      <c r="F31" t="s">
        <v>412</v>
      </c>
      <c r="H31" s="3">
        <v>46224</v>
      </c>
      <c r="I31" s="58">
        <v>46246</v>
      </c>
      <c r="J31" t="s">
        <v>410</v>
      </c>
      <c r="K31">
        <v>2</v>
      </c>
      <c r="N31" s="47" t="s">
        <v>444</v>
      </c>
      <c r="O31">
        <v>1</v>
      </c>
    </row>
    <row r="32" spans="2:15" hidden="1" x14ac:dyDescent="0.35">
      <c r="B32">
        <v>30</v>
      </c>
      <c r="C32">
        <v>79</v>
      </c>
      <c r="D32" t="s">
        <v>292</v>
      </c>
      <c r="F32" t="s">
        <v>412</v>
      </c>
      <c r="H32" s="3">
        <v>46218</v>
      </c>
      <c r="I32" s="58">
        <v>46238</v>
      </c>
      <c r="J32" t="s">
        <v>436</v>
      </c>
      <c r="K32">
        <v>2</v>
      </c>
      <c r="N32" s="4" t="s">
        <v>20</v>
      </c>
      <c r="O32">
        <v>33</v>
      </c>
    </row>
    <row r="33" spans="2:11" hidden="1" x14ac:dyDescent="0.35">
      <c r="B33">
        <v>31</v>
      </c>
      <c r="C33">
        <v>122</v>
      </c>
      <c r="D33" t="s">
        <v>295</v>
      </c>
      <c r="F33" t="s">
        <v>411</v>
      </c>
      <c r="H33" s="3">
        <v>46225</v>
      </c>
      <c r="I33" s="58">
        <v>46246</v>
      </c>
      <c r="J33" t="s">
        <v>410</v>
      </c>
      <c r="K33">
        <v>2</v>
      </c>
    </row>
    <row r="34" spans="2:11" hidden="1" x14ac:dyDescent="0.35">
      <c r="B34">
        <v>32</v>
      </c>
      <c r="C34">
        <v>126</v>
      </c>
      <c r="D34" t="s">
        <v>295</v>
      </c>
      <c r="F34" t="s">
        <v>412</v>
      </c>
      <c r="H34" s="3">
        <v>46225</v>
      </c>
      <c r="I34" s="58">
        <v>46238</v>
      </c>
      <c r="J34" t="s">
        <v>436</v>
      </c>
      <c r="K34">
        <v>2</v>
      </c>
    </row>
    <row r="35" spans="2:11" hidden="1" x14ac:dyDescent="0.35">
      <c r="B35">
        <v>33</v>
      </c>
      <c r="C35">
        <v>136</v>
      </c>
      <c r="D35" t="s">
        <v>445</v>
      </c>
      <c r="F35" t="s">
        <v>412</v>
      </c>
      <c r="H35" s="3">
        <v>46228</v>
      </c>
      <c r="I35" s="58">
        <v>46267</v>
      </c>
      <c r="J35" t="s">
        <v>436</v>
      </c>
      <c r="K35">
        <v>2</v>
      </c>
    </row>
    <row r="36" spans="2:11" hidden="1" x14ac:dyDescent="0.35">
      <c r="B36">
        <v>34</v>
      </c>
      <c r="C36">
        <v>145</v>
      </c>
      <c r="D36" t="s">
        <v>364</v>
      </c>
      <c r="F36" t="s">
        <v>412</v>
      </c>
      <c r="H36" s="3">
        <v>46230</v>
      </c>
      <c r="I36" s="58">
        <v>46246</v>
      </c>
      <c r="J36" t="s">
        <v>410</v>
      </c>
      <c r="K36">
        <v>2</v>
      </c>
    </row>
    <row r="37" spans="2:11" hidden="1" x14ac:dyDescent="0.35">
      <c r="B37">
        <v>35</v>
      </c>
      <c r="C37">
        <v>146</v>
      </c>
      <c r="D37" t="s">
        <v>364</v>
      </c>
      <c r="F37" t="s">
        <v>412</v>
      </c>
      <c r="H37" s="3">
        <v>46230</v>
      </c>
      <c r="I37" s="58">
        <v>46238</v>
      </c>
      <c r="J37" t="s">
        <v>436</v>
      </c>
      <c r="K37">
        <v>2</v>
      </c>
    </row>
    <row r="38" spans="2:11" hidden="1" x14ac:dyDescent="0.35">
      <c r="B38">
        <v>36</v>
      </c>
      <c r="C38">
        <v>147</v>
      </c>
      <c r="D38" t="s">
        <v>364</v>
      </c>
      <c r="F38" t="s">
        <v>412</v>
      </c>
      <c r="H38" s="3">
        <v>46230</v>
      </c>
      <c r="I38" s="58">
        <v>46246</v>
      </c>
      <c r="J38" t="s">
        <v>410</v>
      </c>
      <c r="K38">
        <v>2</v>
      </c>
    </row>
    <row r="39" spans="2:11" hidden="1" x14ac:dyDescent="0.35">
      <c r="B39">
        <v>37</v>
      </c>
      <c r="C39">
        <v>149</v>
      </c>
      <c r="D39" t="s">
        <v>49</v>
      </c>
      <c r="F39" t="s">
        <v>412</v>
      </c>
      <c r="H39" s="3">
        <v>46230</v>
      </c>
      <c r="I39" s="58">
        <v>46246</v>
      </c>
      <c r="J39" t="s">
        <v>410</v>
      </c>
      <c r="K39">
        <v>2</v>
      </c>
    </row>
    <row r="40" spans="2:11" hidden="1" x14ac:dyDescent="0.35">
      <c r="B40">
        <v>38</v>
      </c>
      <c r="C40">
        <v>17015</v>
      </c>
      <c r="D40" t="s">
        <v>364</v>
      </c>
      <c r="F40" t="s">
        <v>412</v>
      </c>
      <c r="H40" s="3">
        <v>46235</v>
      </c>
      <c r="I40" s="58">
        <v>46246</v>
      </c>
      <c r="J40" t="s">
        <v>410</v>
      </c>
      <c r="K40">
        <v>2</v>
      </c>
    </row>
    <row r="41" spans="2:11" hidden="1" x14ac:dyDescent="0.35">
      <c r="B41">
        <v>39</v>
      </c>
      <c r="C41">
        <v>170</v>
      </c>
      <c r="D41" t="s">
        <v>364</v>
      </c>
      <c r="F41" t="s">
        <v>412</v>
      </c>
      <c r="H41" s="3">
        <v>46235</v>
      </c>
      <c r="I41" s="58">
        <v>46246</v>
      </c>
      <c r="J41" t="s">
        <v>410</v>
      </c>
      <c r="K41">
        <v>2</v>
      </c>
    </row>
    <row r="42" spans="2:11" hidden="1" x14ac:dyDescent="0.35">
      <c r="B42">
        <v>40</v>
      </c>
      <c r="C42">
        <v>171</v>
      </c>
      <c r="D42" t="s">
        <v>441</v>
      </c>
      <c r="F42" t="s">
        <v>412</v>
      </c>
      <c r="H42" s="3">
        <v>46235</v>
      </c>
      <c r="I42" s="58">
        <v>46246</v>
      </c>
      <c r="J42" t="s">
        <v>410</v>
      </c>
      <c r="K42">
        <v>2</v>
      </c>
    </row>
    <row r="43" spans="2:11" hidden="1" x14ac:dyDescent="0.35">
      <c r="B43">
        <v>41</v>
      </c>
      <c r="C43">
        <v>172</v>
      </c>
      <c r="D43" t="s">
        <v>364</v>
      </c>
      <c r="F43" t="s">
        <v>412</v>
      </c>
      <c r="H43" s="3">
        <v>46235</v>
      </c>
      <c r="I43" s="58">
        <v>46244</v>
      </c>
      <c r="J43" t="s">
        <v>436</v>
      </c>
      <c r="K43">
        <v>2</v>
      </c>
    </row>
    <row r="44" spans="2:11" hidden="1" x14ac:dyDescent="0.35">
      <c r="B44">
        <v>42</v>
      </c>
      <c r="C44">
        <v>173</v>
      </c>
      <c r="D44" t="s">
        <v>364</v>
      </c>
      <c r="F44" t="s">
        <v>412</v>
      </c>
      <c r="H44" s="3">
        <v>46235</v>
      </c>
      <c r="I44" s="58">
        <v>46255</v>
      </c>
      <c r="J44" t="s">
        <v>410</v>
      </c>
      <c r="K44">
        <v>2</v>
      </c>
    </row>
    <row r="45" spans="2:11" hidden="1" x14ac:dyDescent="0.35">
      <c r="B45">
        <v>43</v>
      </c>
      <c r="C45">
        <v>174</v>
      </c>
      <c r="D45" t="s">
        <v>49</v>
      </c>
      <c r="F45" t="s">
        <v>412</v>
      </c>
      <c r="H45" s="3">
        <v>46235</v>
      </c>
      <c r="I45" s="58">
        <v>46246</v>
      </c>
      <c r="J45" t="s">
        <v>410</v>
      </c>
      <c r="K45">
        <v>2</v>
      </c>
    </row>
    <row r="46" spans="2:11" hidden="1" x14ac:dyDescent="0.35">
      <c r="B46">
        <v>44</v>
      </c>
      <c r="C46">
        <v>175</v>
      </c>
      <c r="D46" t="s">
        <v>49</v>
      </c>
      <c r="F46" t="s">
        <v>412</v>
      </c>
      <c r="H46" s="3">
        <v>46235</v>
      </c>
      <c r="I46" s="58">
        <v>46255</v>
      </c>
      <c r="J46" t="s">
        <v>410</v>
      </c>
      <c r="K46">
        <v>2</v>
      </c>
    </row>
    <row r="47" spans="2:11" hidden="1" x14ac:dyDescent="0.35">
      <c r="B47">
        <v>45</v>
      </c>
      <c r="C47">
        <v>176</v>
      </c>
      <c r="D47" t="s">
        <v>49</v>
      </c>
      <c r="F47" t="s">
        <v>412</v>
      </c>
      <c r="H47" s="3">
        <v>46235</v>
      </c>
      <c r="I47" s="58">
        <v>46246</v>
      </c>
      <c r="J47" t="s">
        <v>410</v>
      </c>
      <c r="K47">
        <v>2</v>
      </c>
    </row>
    <row r="48" spans="2:11" hidden="1" x14ac:dyDescent="0.35">
      <c r="B48">
        <v>46</v>
      </c>
      <c r="C48">
        <v>177</v>
      </c>
      <c r="D48" t="s">
        <v>73</v>
      </c>
      <c r="F48" t="s">
        <v>412</v>
      </c>
      <c r="H48" s="3">
        <v>46235</v>
      </c>
      <c r="I48" s="58">
        <v>46246</v>
      </c>
      <c r="J48" t="s">
        <v>410</v>
      </c>
      <c r="K48">
        <v>2</v>
      </c>
    </row>
    <row r="49" spans="2:11" hidden="1" x14ac:dyDescent="0.35">
      <c r="B49">
        <v>47</v>
      </c>
      <c r="C49">
        <v>178</v>
      </c>
      <c r="D49" t="s">
        <v>364</v>
      </c>
      <c r="F49" t="s">
        <v>412</v>
      </c>
      <c r="H49" s="3">
        <v>46235</v>
      </c>
      <c r="I49" s="58">
        <v>46248</v>
      </c>
      <c r="J49" t="s">
        <v>410</v>
      </c>
      <c r="K49">
        <v>2</v>
      </c>
    </row>
    <row r="50" spans="2:11" hidden="1" x14ac:dyDescent="0.35">
      <c r="B50">
        <v>48</v>
      </c>
      <c r="C50">
        <v>179</v>
      </c>
      <c r="D50" t="s">
        <v>71</v>
      </c>
      <c r="F50" t="s">
        <v>411</v>
      </c>
      <c r="H50" s="3">
        <v>46235</v>
      </c>
      <c r="I50" s="58">
        <v>46267</v>
      </c>
      <c r="J50" t="s">
        <v>438</v>
      </c>
      <c r="K50">
        <v>2</v>
      </c>
    </row>
    <row r="51" spans="2:11" x14ac:dyDescent="0.35">
      <c r="B51">
        <v>18</v>
      </c>
      <c r="C51">
        <v>185</v>
      </c>
      <c r="D51" t="s">
        <v>53</v>
      </c>
      <c r="F51" t="s">
        <v>412</v>
      </c>
      <c r="H51" s="3">
        <v>46235</v>
      </c>
      <c r="J51" t="s">
        <v>416</v>
      </c>
      <c r="K51">
        <v>2</v>
      </c>
    </row>
    <row r="52" spans="2:11" x14ac:dyDescent="0.35">
      <c r="B52">
        <v>27</v>
      </c>
      <c r="C52">
        <v>189</v>
      </c>
      <c r="D52" t="s">
        <v>34</v>
      </c>
      <c r="F52" t="s">
        <v>411</v>
      </c>
      <c r="H52" s="3">
        <v>46235</v>
      </c>
      <c r="J52" t="s">
        <v>410</v>
      </c>
      <c r="K52">
        <v>2</v>
      </c>
    </row>
    <row r="53" spans="2:11" hidden="1" x14ac:dyDescent="0.35">
      <c r="B53">
        <v>51</v>
      </c>
      <c r="C53">
        <v>152</v>
      </c>
      <c r="D53" t="s">
        <v>21</v>
      </c>
      <c r="F53" t="s">
        <v>415</v>
      </c>
      <c r="H53" s="3">
        <v>46235</v>
      </c>
      <c r="I53" s="58">
        <v>46255</v>
      </c>
      <c r="J53" t="s">
        <v>414</v>
      </c>
      <c r="K53">
        <v>2</v>
      </c>
    </row>
    <row r="54" spans="2:11" hidden="1" x14ac:dyDescent="0.35">
      <c r="B54">
        <v>52</v>
      </c>
      <c r="C54">
        <v>17271</v>
      </c>
      <c r="D54" t="s">
        <v>21</v>
      </c>
      <c r="F54" t="s">
        <v>415</v>
      </c>
      <c r="H54" s="3">
        <v>46235</v>
      </c>
      <c r="I54" s="58">
        <v>46246</v>
      </c>
      <c r="J54" t="s">
        <v>414</v>
      </c>
      <c r="K54">
        <v>2</v>
      </c>
    </row>
    <row r="55" spans="2:11" hidden="1" x14ac:dyDescent="0.35">
      <c r="B55">
        <v>53</v>
      </c>
      <c r="C55">
        <v>140</v>
      </c>
      <c r="D55" t="s">
        <v>12</v>
      </c>
      <c r="F55" t="s">
        <v>112</v>
      </c>
      <c r="H55" s="3">
        <v>46229</v>
      </c>
      <c r="I55" s="58">
        <v>46267</v>
      </c>
      <c r="J55" t="s">
        <v>436</v>
      </c>
      <c r="K55">
        <v>1</v>
      </c>
    </row>
    <row r="56" spans="2:11" x14ac:dyDescent="0.35">
      <c r="B56">
        <v>28</v>
      </c>
      <c r="C56">
        <v>190</v>
      </c>
      <c r="D56" t="s">
        <v>34</v>
      </c>
      <c r="F56" t="s">
        <v>411</v>
      </c>
      <c r="H56" s="3">
        <v>46235</v>
      </c>
      <c r="J56" t="s">
        <v>416</v>
      </c>
      <c r="K56">
        <v>2</v>
      </c>
    </row>
    <row r="57" spans="2:11" hidden="1" x14ac:dyDescent="0.35">
      <c r="B57">
        <v>55</v>
      </c>
      <c r="C57">
        <v>148</v>
      </c>
      <c r="D57" t="s">
        <v>273</v>
      </c>
      <c r="F57" t="s">
        <v>412</v>
      </c>
      <c r="H57" s="3">
        <v>46230</v>
      </c>
      <c r="I57" s="58">
        <v>46246</v>
      </c>
      <c r="J57" t="s">
        <v>410</v>
      </c>
      <c r="K57">
        <v>1</v>
      </c>
    </row>
    <row r="58" spans="2:11" hidden="1" x14ac:dyDescent="0.35">
      <c r="B58">
        <v>56</v>
      </c>
      <c r="C58">
        <v>17007</v>
      </c>
      <c r="D58" s="51" t="s">
        <v>364</v>
      </c>
      <c r="F58" t="s">
        <v>412</v>
      </c>
      <c r="H58" s="3">
        <v>46224</v>
      </c>
      <c r="I58" s="58">
        <v>46245</v>
      </c>
      <c r="J58" t="s">
        <v>410</v>
      </c>
      <c r="K58">
        <v>1</v>
      </c>
    </row>
    <row r="59" spans="2:11" hidden="1" x14ac:dyDescent="0.35">
      <c r="B59">
        <v>57</v>
      </c>
      <c r="C59">
        <v>116</v>
      </c>
      <c r="D59" t="s">
        <v>364</v>
      </c>
      <c r="F59" t="s">
        <v>412</v>
      </c>
      <c r="H59" s="3">
        <v>46224</v>
      </c>
      <c r="I59" s="58">
        <v>46245</v>
      </c>
      <c r="J59" t="s">
        <v>410</v>
      </c>
      <c r="K59">
        <v>2</v>
      </c>
    </row>
    <row r="60" spans="2:11" hidden="1" x14ac:dyDescent="0.35">
      <c r="B60">
        <v>58</v>
      </c>
      <c r="C60">
        <v>94</v>
      </c>
      <c r="D60" t="s">
        <v>35</v>
      </c>
      <c r="F60" t="s">
        <v>412</v>
      </c>
      <c r="H60" s="3">
        <v>46226</v>
      </c>
      <c r="I60" s="58">
        <v>46248</v>
      </c>
      <c r="J60" t="s">
        <v>410</v>
      </c>
      <c r="K60">
        <v>1</v>
      </c>
    </row>
    <row r="61" spans="2:11" hidden="1" x14ac:dyDescent="0.35">
      <c r="B61">
        <v>59</v>
      </c>
      <c r="C61">
        <v>127</v>
      </c>
      <c r="D61" t="s">
        <v>49</v>
      </c>
      <c r="F61" t="s">
        <v>412</v>
      </c>
      <c r="H61" s="3">
        <v>46226</v>
      </c>
      <c r="I61" s="58">
        <v>46245</v>
      </c>
      <c r="J61" t="s">
        <v>410</v>
      </c>
      <c r="K61">
        <v>1</v>
      </c>
    </row>
    <row r="62" spans="2:11" hidden="1" x14ac:dyDescent="0.35">
      <c r="B62">
        <v>60</v>
      </c>
      <c r="C62">
        <v>138</v>
      </c>
      <c r="D62" s="51" t="s">
        <v>49</v>
      </c>
      <c r="F62" t="s">
        <v>412</v>
      </c>
      <c r="H62" s="3">
        <v>46229</v>
      </c>
      <c r="I62" s="58">
        <v>46238</v>
      </c>
      <c r="J62" t="s">
        <v>410</v>
      </c>
      <c r="K62">
        <v>1</v>
      </c>
    </row>
    <row r="63" spans="2:11" hidden="1" x14ac:dyDescent="0.35">
      <c r="B63">
        <v>61</v>
      </c>
      <c r="C63">
        <v>141</v>
      </c>
      <c r="D63" t="s">
        <v>49</v>
      </c>
      <c r="F63" t="s">
        <v>412</v>
      </c>
      <c r="H63" s="3">
        <v>46229</v>
      </c>
      <c r="I63" s="58">
        <v>46241</v>
      </c>
      <c r="J63" t="s">
        <v>410</v>
      </c>
      <c r="K63">
        <v>1</v>
      </c>
    </row>
    <row r="64" spans="2:11" hidden="1" x14ac:dyDescent="0.35">
      <c r="B64">
        <v>62</v>
      </c>
      <c r="C64">
        <v>142</v>
      </c>
      <c r="D64" t="s">
        <v>434</v>
      </c>
      <c r="F64" t="s">
        <v>412</v>
      </c>
      <c r="H64" s="3">
        <v>46229</v>
      </c>
      <c r="I64" s="58">
        <v>46246</v>
      </c>
      <c r="J64" t="s">
        <v>410</v>
      </c>
      <c r="K64">
        <v>1</v>
      </c>
    </row>
    <row r="65" spans="2:11" hidden="1" x14ac:dyDescent="0.35">
      <c r="B65">
        <v>63</v>
      </c>
      <c r="C65">
        <v>17277</v>
      </c>
      <c r="D65" t="s">
        <v>446</v>
      </c>
      <c r="F65" t="s">
        <v>447</v>
      </c>
      <c r="G65" s="3">
        <v>46237</v>
      </c>
      <c r="H65" s="3">
        <v>46238</v>
      </c>
      <c r="I65" s="58">
        <v>46238</v>
      </c>
      <c r="J65" t="s">
        <v>436</v>
      </c>
      <c r="K65">
        <v>1</v>
      </c>
    </row>
    <row r="66" spans="2:11" hidden="1" x14ac:dyDescent="0.35">
      <c r="B66">
        <v>64</v>
      </c>
      <c r="C66">
        <v>197</v>
      </c>
      <c r="D66" t="s">
        <v>49</v>
      </c>
      <c r="F66" t="s">
        <v>412</v>
      </c>
      <c r="G66" s="3">
        <v>46239</v>
      </c>
      <c r="H66" s="3">
        <v>46240</v>
      </c>
      <c r="I66" s="58">
        <v>46244</v>
      </c>
      <c r="J66" t="s">
        <v>436</v>
      </c>
      <c r="K66">
        <v>1</v>
      </c>
    </row>
    <row r="67" spans="2:11" hidden="1" x14ac:dyDescent="0.35">
      <c r="B67">
        <v>65</v>
      </c>
      <c r="C67">
        <v>205</v>
      </c>
      <c r="D67" t="s">
        <v>295</v>
      </c>
      <c r="F67" t="s">
        <v>412</v>
      </c>
      <c r="G67" s="3">
        <v>46239</v>
      </c>
      <c r="H67" s="3">
        <v>46240</v>
      </c>
      <c r="I67" s="58">
        <v>46240</v>
      </c>
      <c r="J67" t="s">
        <v>436</v>
      </c>
      <c r="K67">
        <v>3</v>
      </c>
    </row>
    <row r="68" spans="2:11" hidden="1" x14ac:dyDescent="0.35">
      <c r="B68">
        <v>66</v>
      </c>
      <c r="C68">
        <v>206</v>
      </c>
      <c r="D68" t="s">
        <v>37</v>
      </c>
      <c r="F68" t="s">
        <v>412</v>
      </c>
      <c r="G68" s="3">
        <v>46240</v>
      </c>
      <c r="H68" s="3">
        <v>46240</v>
      </c>
      <c r="I68" s="58">
        <v>46246</v>
      </c>
      <c r="J68" t="s">
        <v>410</v>
      </c>
      <c r="K68">
        <v>1</v>
      </c>
    </row>
    <row r="69" spans="2:11" hidden="1" x14ac:dyDescent="0.35">
      <c r="B69">
        <v>67</v>
      </c>
      <c r="C69">
        <v>207</v>
      </c>
      <c r="D69" t="s">
        <v>295</v>
      </c>
      <c r="F69" t="s">
        <v>412</v>
      </c>
      <c r="G69" s="3">
        <v>46240</v>
      </c>
      <c r="H69" s="3">
        <v>46240</v>
      </c>
      <c r="I69" s="58">
        <v>46246</v>
      </c>
      <c r="J69" t="s">
        <v>410</v>
      </c>
      <c r="K69">
        <v>1</v>
      </c>
    </row>
    <row r="70" spans="2:11" hidden="1" x14ac:dyDescent="0.35">
      <c r="B70">
        <v>68</v>
      </c>
      <c r="C70">
        <v>208</v>
      </c>
      <c r="D70" t="s">
        <v>23</v>
      </c>
      <c r="F70" t="s">
        <v>412</v>
      </c>
      <c r="G70" s="3">
        <v>46240</v>
      </c>
      <c r="H70" s="3">
        <v>46240</v>
      </c>
      <c r="I70" s="58">
        <v>46240</v>
      </c>
      <c r="J70" t="s">
        <v>436</v>
      </c>
      <c r="K70">
        <v>1</v>
      </c>
    </row>
    <row r="71" spans="2:11" hidden="1" x14ac:dyDescent="0.35">
      <c r="B71">
        <v>69</v>
      </c>
      <c r="C71">
        <v>209</v>
      </c>
      <c r="D71" t="s">
        <v>23</v>
      </c>
      <c r="F71" t="s">
        <v>412</v>
      </c>
      <c r="G71" s="3">
        <v>46240</v>
      </c>
      <c r="H71" s="3">
        <v>46240</v>
      </c>
      <c r="I71" s="58">
        <v>46246</v>
      </c>
      <c r="J71" t="s">
        <v>410</v>
      </c>
      <c r="K71">
        <v>2</v>
      </c>
    </row>
    <row r="72" spans="2:11" hidden="1" x14ac:dyDescent="0.35">
      <c r="B72">
        <v>70</v>
      </c>
      <c r="C72">
        <v>210</v>
      </c>
      <c r="D72" t="s">
        <v>364</v>
      </c>
      <c r="F72" t="s">
        <v>411</v>
      </c>
      <c r="G72" s="3">
        <v>46240</v>
      </c>
      <c r="H72" s="3">
        <v>46240</v>
      </c>
      <c r="I72" s="58">
        <v>46247</v>
      </c>
      <c r="J72" t="s">
        <v>436</v>
      </c>
      <c r="K72">
        <v>2</v>
      </c>
    </row>
    <row r="73" spans="2:11" hidden="1" x14ac:dyDescent="0.35">
      <c r="B73">
        <v>71</v>
      </c>
      <c r="C73">
        <v>211</v>
      </c>
      <c r="D73" t="s">
        <v>441</v>
      </c>
      <c r="F73" t="s">
        <v>412</v>
      </c>
      <c r="G73" s="3">
        <v>46240</v>
      </c>
      <c r="H73" s="3">
        <v>46240</v>
      </c>
      <c r="I73" s="58">
        <v>46246</v>
      </c>
      <c r="J73" t="s">
        <v>410</v>
      </c>
      <c r="K73">
        <v>1</v>
      </c>
    </row>
    <row r="74" spans="2:11" hidden="1" x14ac:dyDescent="0.35">
      <c r="B74">
        <v>72</v>
      </c>
      <c r="C74">
        <v>219</v>
      </c>
      <c r="D74" t="s">
        <v>448</v>
      </c>
      <c r="F74" t="s">
        <v>412</v>
      </c>
      <c r="H74" s="3">
        <v>46241</v>
      </c>
      <c r="I74" s="58">
        <v>46246</v>
      </c>
      <c r="J74" t="s">
        <v>410</v>
      </c>
      <c r="K74">
        <v>1</v>
      </c>
    </row>
    <row r="75" spans="2:11" hidden="1" x14ac:dyDescent="0.35">
      <c r="B75">
        <v>73</v>
      </c>
      <c r="C75">
        <v>218</v>
      </c>
      <c r="D75" t="s">
        <v>69</v>
      </c>
      <c r="F75" t="s">
        <v>449</v>
      </c>
      <c r="H75" s="3">
        <v>46241</v>
      </c>
      <c r="I75" s="58">
        <v>46246</v>
      </c>
      <c r="J75" t="s">
        <v>450</v>
      </c>
      <c r="K75">
        <v>1</v>
      </c>
    </row>
    <row r="76" spans="2:11" hidden="1" x14ac:dyDescent="0.35">
      <c r="B76">
        <v>74</v>
      </c>
      <c r="C76">
        <v>221</v>
      </c>
      <c r="D76" t="s">
        <v>73</v>
      </c>
      <c r="F76" t="s">
        <v>412</v>
      </c>
      <c r="G76" s="3">
        <v>46241</v>
      </c>
      <c r="H76" s="3">
        <v>46244</v>
      </c>
      <c r="I76" s="58">
        <v>46245</v>
      </c>
      <c r="J76" t="s">
        <v>436</v>
      </c>
      <c r="K76">
        <v>1</v>
      </c>
    </row>
    <row r="77" spans="2:11" x14ac:dyDescent="0.35">
      <c r="B77">
        <v>75</v>
      </c>
      <c r="C77">
        <v>222</v>
      </c>
      <c r="D77" t="s">
        <v>434</v>
      </c>
      <c r="F77" t="s">
        <v>412</v>
      </c>
      <c r="G77" s="3">
        <v>46241</v>
      </c>
      <c r="H77" s="3">
        <v>46244</v>
      </c>
      <c r="J77" t="s">
        <v>410</v>
      </c>
      <c r="K77">
        <v>1</v>
      </c>
    </row>
    <row r="78" spans="2:11" hidden="1" x14ac:dyDescent="0.35">
      <c r="B78">
        <v>76</v>
      </c>
      <c r="C78">
        <v>223</v>
      </c>
      <c r="D78" t="s">
        <v>49</v>
      </c>
      <c r="F78" t="s">
        <v>412</v>
      </c>
      <c r="G78" s="3">
        <v>46241</v>
      </c>
      <c r="H78" s="3">
        <v>46244</v>
      </c>
      <c r="I78" s="58">
        <v>46246</v>
      </c>
      <c r="J78" t="s">
        <v>410</v>
      </c>
      <c r="K78">
        <v>1</v>
      </c>
    </row>
    <row r="79" spans="2:11" hidden="1" x14ac:dyDescent="0.35">
      <c r="B79">
        <v>77</v>
      </c>
      <c r="C79">
        <v>224</v>
      </c>
      <c r="D79" t="s">
        <v>37</v>
      </c>
      <c r="F79" t="s">
        <v>412</v>
      </c>
      <c r="G79" s="3">
        <v>46241</v>
      </c>
      <c r="H79" s="3">
        <v>46244</v>
      </c>
      <c r="I79" s="58">
        <v>46244</v>
      </c>
      <c r="J79" t="s">
        <v>436</v>
      </c>
      <c r="K79">
        <v>1</v>
      </c>
    </row>
    <row r="80" spans="2:11" hidden="1" x14ac:dyDescent="0.35">
      <c r="B80">
        <v>78</v>
      </c>
      <c r="C80">
        <v>225</v>
      </c>
      <c r="D80" t="s">
        <v>73</v>
      </c>
      <c r="F80" t="s">
        <v>412</v>
      </c>
      <c r="G80" s="3">
        <v>46241</v>
      </c>
      <c r="H80" s="3">
        <v>46244</v>
      </c>
      <c r="I80" s="58">
        <v>46244</v>
      </c>
      <c r="J80" t="s">
        <v>436</v>
      </c>
      <c r="K80">
        <v>1</v>
      </c>
    </row>
    <row r="81" spans="2:11" hidden="1" x14ac:dyDescent="0.35">
      <c r="B81">
        <v>79</v>
      </c>
      <c r="C81">
        <v>226</v>
      </c>
      <c r="D81" t="s">
        <v>53</v>
      </c>
      <c r="F81" t="s">
        <v>412</v>
      </c>
      <c r="G81" s="3">
        <v>46244</v>
      </c>
      <c r="H81" s="3">
        <v>46245</v>
      </c>
      <c r="I81" s="58">
        <v>46246</v>
      </c>
      <c r="J81" t="s">
        <v>410</v>
      </c>
      <c r="K81">
        <v>1</v>
      </c>
    </row>
    <row r="82" spans="2:11" hidden="1" x14ac:dyDescent="0.35">
      <c r="B82">
        <v>80</v>
      </c>
      <c r="C82">
        <v>227</v>
      </c>
      <c r="D82" t="s">
        <v>73</v>
      </c>
      <c r="F82" t="s">
        <v>412</v>
      </c>
      <c r="G82" s="3">
        <v>46244</v>
      </c>
      <c r="H82" s="3">
        <v>46245</v>
      </c>
      <c r="I82" s="58">
        <v>46245</v>
      </c>
      <c r="J82" t="s">
        <v>436</v>
      </c>
      <c r="K82">
        <v>1</v>
      </c>
    </row>
    <row r="83" spans="2:11" hidden="1" x14ac:dyDescent="0.35">
      <c r="B83">
        <v>81</v>
      </c>
      <c r="C83">
        <v>228</v>
      </c>
      <c r="D83" t="s">
        <v>73</v>
      </c>
      <c r="F83" t="s">
        <v>412</v>
      </c>
      <c r="G83" s="3">
        <v>46244</v>
      </c>
      <c r="H83" s="3">
        <v>46245</v>
      </c>
      <c r="I83" s="58">
        <v>46246</v>
      </c>
      <c r="J83" t="s">
        <v>410</v>
      </c>
      <c r="K83">
        <v>1</v>
      </c>
    </row>
    <row r="84" spans="2:11" hidden="1" x14ac:dyDescent="0.35">
      <c r="B84">
        <v>82</v>
      </c>
      <c r="C84">
        <v>229</v>
      </c>
      <c r="D84" t="s">
        <v>451</v>
      </c>
      <c r="F84" t="s">
        <v>412</v>
      </c>
      <c r="G84" s="3">
        <v>46244</v>
      </c>
      <c r="H84" s="3">
        <v>46245</v>
      </c>
      <c r="I84" s="58">
        <v>46246</v>
      </c>
      <c r="J84" t="s">
        <v>410</v>
      </c>
      <c r="K84">
        <v>1</v>
      </c>
    </row>
    <row r="85" spans="2:11" hidden="1" x14ac:dyDescent="0.35">
      <c r="B85">
        <v>83</v>
      </c>
      <c r="C85">
        <v>230</v>
      </c>
      <c r="D85" t="s">
        <v>37</v>
      </c>
      <c r="F85" t="s">
        <v>412</v>
      </c>
      <c r="G85" s="3">
        <v>46244</v>
      </c>
      <c r="H85" s="3">
        <v>46245</v>
      </c>
      <c r="I85" s="58">
        <v>46246</v>
      </c>
      <c r="J85" t="s">
        <v>410</v>
      </c>
      <c r="K85">
        <v>1</v>
      </c>
    </row>
    <row r="86" spans="2:11" hidden="1" x14ac:dyDescent="0.35">
      <c r="B86">
        <v>84</v>
      </c>
      <c r="C86">
        <v>231</v>
      </c>
      <c r="D86" t="s">
        <v>452</v>
      </c>
      <c r="F86" t="s">
        <v>449</v>
      </c>
      <c r="H86" s="3">
        <v>46245</v>
      </c>
      <c r="I86" s="58">
        <v>46246</v>
      </c>
      <c r="J86" t="s">
        <v>450</v>
      </c>
      <c r="K86">
        <v>1</v>
      </c>
    </row>
    <row r="87" spans="2:11" hidden="1" x14ac:dyDescent="0.35">
      <c r="B87">
        <v>85</v>
      </c>
      <c r="C87">
        <v>232</v>
      </c>
      <c r="D87" t="s">
        <v>452</v>
      </c>
      <c r="F87" t="s">
        <v>449</v>
      </c>
      <c r="H87" s="3">
        <v>46245</v>
      </c>
      <c r="I87" s="58">
        <v>46245</v>
      </c>
      <c r="J87" t="s">
        <v>436</v>
      </c>
      <c r="K87">
        <v>1</v>
      </c>
    </row>
    <row r="88" spans="2:11" hidden="1" x14ac:dyDescent="0.35">
      <c r="B88">
        <v>86</v>
      </c>
      <c r="C88">
        <v>233</v>
      </c>
      <c r="D88" t="s">
        <v>452</v>
      </c>
      <c r="F88" t="s">
        <v>449</v>
      </c>
      <c r="H88" s="3">
        <v>46245</v>
      </c>
      <c r="I88" s="58">
        <v>46245</v>
      </c>
      <c r="J88" t="s">
        <v>436</v>
      </c>
      <c r="K88">
        <v>1</v>
      </c>
    </row>
    <row r="89" spans="2:11" hidden="1" x14ac:dyDescent="0.35">
      <c r="B89">
        <v>87</v>
      </c>
      <c r="C89">
        <v>234</v>
      </c>
      <c r="D89" t="s">
        <v>295</v>
      </c>
      <c r="F89" t="s">
        <v>412</v>
      </c>
      <c r="G89" s="3">
        <v>46244</v>
      </c>
      <c r="H89" s="3">
        <v>46245</v>
      </c>
      <c r="I89" s="58">
        <v>46246</v>
      </c>
      <c r="J89" t="s">
        <v>410</v>
      </c>
      <c r="K89">
        <v>1</v>
      </c>
    </row>
    <row r="90" spans="2:11" hidden="1" x14ac:dyDescent="0.35">
      <c r="B90">
        <v>88</v>
      </c>
      <c r="C90">
        <v>235</v>
      </c>
      <c r="D90" t="s">
        <v>53</v>
      </c>
      <c r="F90" t="s">
        <v>412</v>
      </c>
      <c r="G90" s="3">
        <v>46244</v>
      </c>
      <c r="H90" s="3">
        <v>46245</v>
      </c>
      <c r="I90" s="58">
        <v>46246</v>
      </c>
      <c r="J90" t="s">
        <v>410</v>
      </c>
      <c r="K90">
        <v>3</v>
      </c>
    </row>
    <row r="91" spans="2:11" hidden="1" x14ac:dyDescent="0.35">
      <c r="B91">
        <v>89</v>
      </c>
      <c r="C91">
        <v>236</v>
      </c>
      <c r="D91" t="s">
        <v>441</v>
      </c>
      <c r="F91" t="s">
        <v>412</v>
      </c>
      <c r="G91" s="3">
        <v>46244</v>
      </c>
      <c r="H91" s="3">
        <v>46245</v>
      </c>
      <c r="I91" s="58">
        <v>46248</v>
      </c>
      <c r="J91" t="s">
        <v>410</v>
      </c>
      <c r="K91">
        <v>1</v>
      </c>
    </row>
    <row r="92" spans="2:11" hidden="1" x14ac:dyDescent="0.35">
      <c r="B92">
        <v>90</v>
      </c>
      <c r="C92">
        <v>237</v>
      </c>
      <c r="D92" t="s">
        <v>37</v>
      </c>
      <c r="F92" t="s">
        <v>412</v>
      </c>
      <c r="G92" s="3">
        <v>46244</v>
      </c>
      <c r="H92" s="3">
        <v>46245</v>
      </c>
      <c r="I92" s="58">
        <v>46255</v>
      </c>
      <c r="J92" t="s">
        <v>410</v>
      </c>
      <c r="K92">
        <v>2</v>
      </c>
    </row>
    <row r="93" spans="2:11" hidden="1" x14ac:dyDescent="0.35">
      <c r="B93">
        <v>91</v>
      </c>
      <c r="C93">
        <v>238</v>
      </c>
      <c r="D93" t="s">
        <v>37</v>
      </c>
      <c r="F93" t="s">
        <v>412</v>
      </c>
      <c r="G93" s="3">
        <v>46245</v>
      </c>
      <c r="H93" s="3">
        <v>46246</v>
      </c>
      <c r="I93" s="58">
        <v>46246</v>
      </c>
      <c r="J93" t="s">
        <v>436</v>
      </c>
      <c r="K93">
        <v>2</v>
      </c>
    </row>
    <row r="94" spans="2:11" hidden="1" x14ac:dyDescent="0.35">
      <c r="B94">
        <v>92</v>
      </c>
      <c r="C94">
        <v>111</v>
      </c>
      <c r="D94" t="s">
        <v>21</v>
      </c>
      <c r="F94" t="s">
        <v>415</v>
      </c>
      <c r="H94" s="3">
        <v>46223</v>
      </c>
      <c r="I94" s="58">
        <v>46255</v>
      </c>
      <c r="J94" t="s">
        <v>13</v>
      </c>
      <c r="K94">
        <v>1</v>
      </c>
    </row>
    <row r="95" spans="2:11" hidden="1" x14ac:dyDescent="0.35">
      <c r="B95">
        <v>93</v>
      </c>
      <c r="C95">
        <v>239</v>
      </c>
      <c r="D95" t="s">
        <v>45</v>
      </c>
      <c r="F95" t="s">
        <v>412</v>
      </c>
      <c r="H95" s="3">
        <v>46223</v>
      </c>
      <c r="I95" s="58">
        <v>46252</v>
      </c>
      <c r="J95" t="s">
        <v>410</v>
      </c>
      <c r="K95">
        <v>1</v>
      </c>
    </row>
    <row r="96" spans="2:11" hidden="1" x14ac:dyDescent="0.35">
      <c r="B96">
        <v>94</v>
      </c>
      <c r="C96">
        <v>240</v>
      </c>
      <c r="D96" t="s">
        <v>23</v>
      </c>
      <c r="F96" t="s">
        <v>412</v>
      </c>
      <c r="H96" s="3">
        <v>46223</v>
      </c>
      <c r="I96" s="58">
        <v>46255</v>
      </c>
      <c r="J96" t="s">
        <v>410</v>
      </c>
      <c r="K96">
        <v>1</v>
      </c>
    </row>
    <row r="97" spans="2:11" x14ac:dyDescent="0.35">
      <c r="B97">
        <v>98</v>
      </c>
      <c r="C97">
        <v>243</v>
      </c>
      <c r="D97" t="s">
        <v>45</v>
      </c>
      <c r="F97" t="s">
        <v>412</v>
      </c>
      <c r="H97" s="3">
        <v>46223</v>
      </c>
      <c r="J97" t="s">
        <v>416</v>
      </c>
      <c r="K97">
        <v>1</v>
      </c>
    </row>
    <row r="98" spans="2:11" hidden="1" x14ac:dyDescent="0.35">
      <c r="B98">
        <v>96</v>
      </c>
      <c r="C98">
        <v>241</v>
      </c>
      <c r="D98" t="s">
        <v>37</v>
      </c>
      <c r="F98" t="s">
        <v>412</v>
      </c>
      <c r="H98" s="3">
        <v>46223</v>
      </c>
      <c r="I98" s="58">
        <v>46248</v>
      </c>
      <c r="J98" t="s">
        <v>410</v>
      </c>
      <c r="K98">
        <v>1</v>
      </c>
    </row>
    <row r="99" spans="2:11" hidden="1" x14ac:dyDescent="0.35">
      <c r="B99">
        <v>97</v>
      </c>
      <c r="C99">
        <v>242</v>
      </c>
      <c r="D99" t="s">
        <v>38</v>
      </c>
      <c r="F99" t="s">
        <v>411</v>
      </c>
      <c r="H99" s="3">
        <v>46223</v>
      </c>
      <c r="I99" s="58">
        <v>46267</v>
      </c>
      <c r="J99" t="s">
        <v>410</v>
      </c>
      <c r="K99">
        <v>1</v>
      </c>
    </row>
    <row r="100" spans="2:11" x14ac:dyDescent="0.35">
      <c r="B100">
        <v>114</v>
      </c>
      <c r="C100">
        <v>251</v>
      </c>
      <c r="D100" t="s">
        <v>23</v>
      </c>
      <c r="F100" t="s">
        <v>411</v>
      </c>
      <c r="G100" s="3">
        <v>46246</v>
      </c>
      <c r="H100" s="3">
        <v>46247</v>
      </c>
      <c r="J100" t="s">
        <v>442</v>
      </c>
      <c r="K100">
        <v>1</v>
      </c>
    </row>
    <row r="101" spans="2:11" hidden="1" x14ac:dyDescent="0.35">
      <c r="B101">
        <v>99</v>
      </c>
      <c r="C101">
        <v>11796</v>
      </c>
      <c r="D101" t="s">
        <v>53</v>
      </c>
      <c r="F101" t="s">
        <v>9</v>
      </c>
      <c r="H101" s="3">
        <v>46223</v>
      </c>
      <c r="I101" s="58">
        <v>46267</v>
      </c>
      <c r="J101" t="s">
        <v>410</v>
      </c>
      <c r="K101">
        <v>1</v>
      </c>
    </row>
    <row r="102" spans="2:11" hidden="1" x14ac:dyDescent="0.35">
      <c r="B102">
        <v>100</v>
      </c>
      <c r="C102" t="s">
        <v>46</v>
      </c>
      <c r="D102" t="s">
        <v>46</v>
      </c>
      <c r="F102" t="s">
        <v>421</v>
      </c>
      <c r="H102" s="3">
        <v>46223</v>
      </c>
      <c r="I102" s="58">
        <v>46255</v>
      </c>
      <c r="J102" t="s">
        <v>420</v>
      </c>
      <c r="K102">
        <v>1</v>
      </c>
    </row>
    <row r="103" spans="2:11" hidden="1" x14ac:dyDescent="0.35">
      <c r="B103">
        <v>101</v>
      </c>
      <c r="C103" t="s">
        <v>46</v>
      </c>
      <c r="D103" t="s">
        <v>46</v>
      </c>
      <c r="F103" t="s">
        <v>421</v>
      </c>
      <c r="H103" s="3">
        <v>46223</v>
      </c>
      <c r="I103" s="58">
        <v>46255</v>
      </c>
      <c r="J103" t="s">
        <v>420</v>
      </c>
      <c r="K103">
        <v>1</v>
      </c>
    </row>
    <row r="104" spans="2:11" hidden="1" x14ac:dyDescent="0.35">
      <c r="B104">
        <v>102</v>
      </c>
      <c r="C104" t="s">
        <v>46</v>
      </c>
      <c r="D104" t="s">
        <v>46</v>
      </c>
      <c r="F104" t="s">
        <v>421</v>
      </c>
      <c r="H104" s="3">
        <v>46223</v>
      </c>
      <c r="I104" s="58">
        <v>46255</v>
      </c>
      <c r="J104" t="s">
        <v>420</v>
      </c>
      <c r="K104">
        <v>1</v>
      </c>
    </row>
    <row r="105" spans="2:11" hidden="1" x14ac:dyDescent="0.35">
      <c r="B105">
        <v>103</v>
      </c>
      <c r="C105" t="s">
        <v>46</v>
      </c>
      <c r="D105" t="s">
        <v>46</v>
      </c>
      <c r="F105" t="s">
        <v>421</v>
      </c>
      <c r="H105" s="3">
        <v>46223</v>
      </c>
      <c r="I105" s="58">
        <v>46255</v>
      </c>
      <c r="J105" t="s">
        <v>420</v>
      </c>
      <c r="K105">
        <v>1</v>
      </c>
    </row>
    <row r="106" spans="2:11" hidden="1" x14ac:dyDescent="0.35">
      <c r="B106">
        <v>104</v>
      </c>
      <c r="C106" t="s">
        <v>46</v>
      </c>
      <c r="D106" t="s">
        <v>46</v>
      </c>
      <c r="F106" t="s">
        <v>421</v>
      </c>
      <c r="H106" s="3">
        <v>46223</v>
      </c>
      <c r="I106" s="58">
        <v>46255</v>
      </c>
      <c r="J106" t="s">
        <v>420</v>
      </c>
      <c r="K106">
        <v>1</v>
      </c>
    </row>
    <row r="107" spans="2:11" hidden="1" x14ac:dyDescent="0.35">
      <c r="B107">
        <v>105</v>
      </c>
      <c r="C107" t="s">
        <v>46</v>
      </c>
      <c r="D107" t="s">
        <v>46</v>
      </c>
      <c r="F107" t="s">
        <v>421</v>
      </c>
      <c r="H107" s="3">
        <v>46223</v>
      </c>
      <c r="I107" s="58">
        <v>46255</v>
      </c>
      <c r="J107" t="s">
        <v>420</v>
      </c>
      <c r="K107">
        <v>1</v>
      </c>
    </row>
    <row r="108" spans="2:11" hidden="1" x14ac:dyDescent="0.35">
      <c r="B108">
        <v>106</v>
      </c>
      <c r="C108" t="s">
        <v>46</v>
      </c>
      <c r="D108" t="s">
        <v>46</v>
      </c>
      <c r="F108" t="s">
        <v>421</v>
      </c>
      <c r="H108" s="3">
        <v>46223</v>
      </c>
      <c r="I108" s="58">
        <v>46255</v>
      </c>
      <c r="J108" t="s">
        <v>420</v>
      </c>
      <c r="K108">
        <v>1</v>
      </c>
    </row>
    <row r="109" spans="2:11" hidden="1" x14ac:dyDescent="0.35">
      <c r="B109">
        <v>107</v>
      </c>
      <c r="C109">
        <v>244</v>
      </c>
      <c r="D109" t="s">
        <v>35</v>
      </c>
      <c r="F109" t="s">
        <v>412</v>
      </c>
      <c r="G109" s="3">
        <v>46246</v>
      </c>
      <c r="H109" s="3">
        <v>46247</v>
      </c>
      <c r="I109" s="58">
        <v>46267</v>
      </c>
      <c r="J109" t="s">
        <v>436</v>
      </c>
      <c r="K109">
        <v>1</v>
      </c>
    </row>
    <row r="110" spans="2:11" hidden="1" x14ac:dyDescent="0.35">
      <c r="B110">
        <v>108</v>
      </c>
      <c r="C110">
        <v>245</v>
      </c>
      <c r="D110" t="s">
        <v>31</v>
      </c>
      <c r="F110" t="s">
        <v>412</v>
      </c>
      <c r="G110" s="3">
        <v>46246</v>
      </c>
      <c r="H110" s="3">
        <v>46247</v>
      </c>
      <c r="I110" s="58">
        <v>46247</v>
      </c>
      <c r="J110" t="s">
        <v>410</v>
      </c>
      <c r="K110">
        <v>1</v>
      </c>
    </row>
    <row r="111" spans="2:11" hidden="1" x14ac:dyDescent="0.35">
      <c r="B111">
        <v>109</v>
      </c>
      <c r="C111">
        <v>246</v>
      </c>
      <c r="D111" t="s">
        <v>451</v>
      </c>
      <c r="F111" t="s">
        <v>412</v>
      </c>
      <c r="G111" s="3">
        <v>46246</v>
      </c>
      <c r="H111" s="3">
        <v>46247</v>
      </c>
      <c r="I111" s="58">
        <v>46255</v>
      </c>
      <c r="J111" t="s">
        <v>410</v>
      </c>
      <c r="K111">
        <v>1</v>
      </c>
    </row>
    <row r="112" spans="2:11" hidden="1" x14ac:dyDescent="0.35">
      <c r="B112">
        <v>110</v>
      </c>
      <c r="C112">
        <v>247</v>
      </c>
      <c r="D112" t="s">
        <v>446</v>
      </c>
      <c r="F112" t="s">
        <v>453</v>
      </c>
      <c r="G112" s="3">
        <v>46246</v>
      </c>
      <c r="H112" s="3">
        <v>46247</v>
      </c>
      <c r="I112" s="58">
        <v>46260</v>
      </c>
      <c r="J112" t="s">
        <v>436</v>
      </c>
      <c r="K112">
        <v>1</v>
      </c>
    </row>
    <row r="113" spans="2:11" hidden="1" x14ac:dyDescent="0.35">
      <c r="B113">
        <v>111</v>
      </c>
      <c r="C113">
        <v>248</v>
      </c>
      <c r="D113" t="s">
        <v>295</v>
      </c>
      <c r="F113" t="s">
        <v>412</v>
      </c>
      <c r="G113" s="3">
        <v>46246</v>
      </c>
      <c r="H113" s="3">
        <v>46247</v>
      </c>
      <c r="I113" s="58">
        <v>46247</v>
      </c>
      <c r="J113" t="s">
        <v>410</v>
      </c>
      <c r="K113">
        <v>1</v>
      </c>
    </row>
    <row r="114" spans="2:11" hidden="1" x14ac:dyDescent="0.35">
      <c r="B114">
        <v>112</v>
      </c>
      <c r="C114">
        <v>249</v>
      </c>
      <c r="D114" t="s">
        <v>53</v>
      </c>
      <c r="F114" t="s">
        <v>412</v>
      </c>
      <c r="G114" s="3">
        <v>46246</v>
      </c>
      <c r="H114" s="3">
        <v>46247</v>
      </c>
      <c r="I114" s="58">
        <v>46247</v>
      </c>
      <c r="J114" t="s">
        <v>410</v>
      </c>
      <c r="K114">
        <v>1</v>
      </c>
    </row>
    <row r="115" spans="2:11" hidden="1" x14ac:dyDescent="0.35">
      <c r="B115">
        <v>113</v>
      </c>
      <c r="C115">
        <v>250</v>
      </c>
      <c r="D115" t="s">
        <v>393</v>
      </c>
      <c r="F115" t="s">
        <v>412</v>
      </c>
      <c r="G115" s="3">
        <v>46246</v>
      </c>
      <c r="H115" s="3">
        <v>46247</v>
      </c>
      <c r="I115" s="58">
        <v>46267</v>
      </c>
      <c r="J115" t="s">
        <v>436</v>
      </c>
      <c r="K115">
        <v>1</v>
      </c>
    </row>
    <row r="116" spans="2:11" x14ac:dyDescent="0.35">
      <c r="B116">
        <v>159</v>
      </c>
      <c r="C116">
        <v>264</v>
      </c>
      <c r="D116" t="s">
        <v>73</v>
      </c>
      <c r="F116" t="s">
        <v>411</v>
      </c>
      <c r="H116" s="3">
        <v>46267</v>
      </c>
      <c r="J116" t="s">
        <v>442</v>
      </c>
      <c r="K116">
        <v>1</v>
      </c>
    </row>
    <row r="117" spans="2:11" hidden="1" x14ac:dyDescent="0.35">
      <c r="B117">
        <v>115</v>
      </c>
      <c r="C117">
        <v>252</v>
      </c>
      <c r="D117" t="s">
        <v>393</v>
      </c>
      <c r="F117" t="s">
        <v>412</v>
      </c>
      <c r="G117" s="3">
        <v>46247</v>
      </c>
      <c r="H117" s="3">
        <v>46247</v>
      </c>
      <c r="I117" s="58">
        <v>46247</v>
      </c>
      <c r="J117" t="s">
        <v>410</v>
      </c>
      <c r="K117">
        <v>1</v>
      </c>
    </row>
    <row r="118" spans="2:11" hidden="1" x14ac:dyDescent="0.35">
      <c r="B118">
        <v>116</v>
      </c>
      <c r="C118">
        <v>253</v>
      </c>
      <c r="D118" t="s">
        <v>393</v>
      </c>
      <c r="F118" t="s">
        <v>412</v>
      </c>
      <c r="G118" s="3">
        <v>46247</v>
      </c>
      <c r="H118" s="3">
        <v>46247</v>
      </c>
      <c r="I118" s="58">
        <v>46247</v>
      </c>
      <c r="J118" t="s">
        <v>410</v>
      </c>
      <c r="K118">
        <v>1</v>
      </c>
    </row>
    <row r="119" spans="2:11" hidden="1" x14ac:dyDescent="0.35">
      <c r="B119">
        <v>117</v>
      </c>
      <c r="C119">
        <v>262</v>
      </c>
      <c r="D119" t="s">
        <v>73</v>
      </c>
      <c r="F119" t="s">
        <v>411</v>
      </c>
      <c r="H119" s="3">
        <v>46248</v>
      </c>
      <c r="I119" s="58">
        <v>46267</v>
      </c>
      <c r="J119" t="s">
        <v>436</v>
      </c>
      <c r="K119">
        <v>1</v>
      </c>
    </row>
    <row r="120" spans="2:11" hidden="1" x14ac:dyDescent="0.35">
      <c r="B120">
        <v>118</v>
      </c>
      <c r="C120">
        <v>266</v>
      </c>
      <c r="D120" t="s">
        <v>37</v>
      </c>
      <c r="F120" t="s">
        <v>412</v>
      </c>
      <c r="H120" s="3">
        <v>46248</v>
      </c>
      <c r="I120" s="58">
        <v>46248</v>
      </c>
      <c r="J120" t="s">
        <v>436</v>
      </c>
      <c r="K120">
        <v>1</v>
      </c>
    </row>
    <row r="121" spans="2:11" hidden="1" x14ac:dyDescent="0.35">
      <c r="B121">
        <v>119</v>
      </c>
      <c r="C121">
        <v>267</v>
      </c>
      <c r="D121" t="s">
        <v>73</v>
      </c>
      <c r="F121" t="s">
        <v>412</v>
      </c>
      <c r="H121" s="3">
        <v>46248</v>
      </c>
      <c r="I121" s="58">
        <v>46267</v>
      </c>
      <c r="J121" t="s">
        <v>436</v>
      </c>
      <c r="K121">
        <v>1</v>
      </c>
    </row>
    <row r="122" spans="2:11" hidden="1" x14ac:dyDescent="0.35">
      <c r="B122">
        <v>120</v>
      </c>
      <c r="C122">
        <v>268</v>
      </c>
      <c r="D122" t="s">
        <v>393</v>
      </c>
      <c r="F122" t="s">
        <v>412</v>
      </c>
      <c r="H122" s="3">
        <v>46248</v>
      </c>
      <c r="I122" s="58">
        <v>46248</v>
      </c>
      <c r="J122" t="s">
        <v>436</v>
      </c>
      <c r="K122">
        <v>1</v>
      </c>
    </row>
    <row r="123" spans="2:11" hidden="1" x14ac:dyDescent="0.35">
      <c r="B123">
        <v>121</v>
      </c>
      <c r="C123">
        <v>269</v>
      </c>
      <c r="D123" t="s">
        <v>393</v>
      </c>
      <c r="F123" t="s">
        <v>412</v>
      </c>
      <c r="H123" s="3">
        <v>46248</v>
      </c>
      <c r="I123" s="58">
        <v>46248</v>
      </c>
      <c r="J123" t="s">
        <v>436</v>
      </c>
      <c r="K123">
        <v>1</v>
      </c>
    </row>
    <row r="124" spans="2:11" x14ac:dyDescent="0.35">
      <c r="B124">
        <v>122</v>
      </c>
      <c r="C124">
        <v>270</v>
      </c>
      <c r="D124" t="s">
        <v>29</v>
      </c>
      <c r="F124" t="s">
        <v>296</v>
      </c>
      <c r="H124" s="3">
        <v>46248</v>
      </c>
      <c r="J124" t="s">
        <v>438</v>
      </c>
      <c r="K124">
        <v>1</v>
      </c>
    </row>
    <row r="125" spans="2:11" hidden="1" x14ac:dyDescent="0.35">
      <c r="B125">
        <v>123</v>
      </c>
      <c r="C125">
        <v>271</v>
      </c>
      <c r="D125" t="s">
        <v>39</v>
      </c>
      <c r="F125" t="s">
        <v>411</v>
      </c>
      <c r="H125" s="3">
        <v>46247</v>
      </c>
      <c r="I125" s="58">
        <v>46248</v>
      </c>
      <c r="J125" t="s">
        <v>410</v>
      </c>
      <c r="K125">
        <v>1</v>
      </c>
    </row>
    <row r="126" spans="2:11" hidden="1" x14ac:dyDescent="0.35">
      <c r="B126">
        <v>124</v>
      </c>
      <c r="C126">
        <v>254</v>
      </c>
      <c r="D126" t="s">
        <v>38</v>
      </c>
      <c r="F126" t="s">
        <v>444</v>
      </c>
      <c r="H126" s="3">
        <v>46247</v>
      </c>
      <c r="I126" s="58">
        <v>46255</v>
      </c>
      <c r="J126" t="s">
        <v>418</v>
      </c>
      <c r="K126">
        <v>1</v>
      </c>
    </row>
    <row r="127" spans="2:11" hidden="1" x14ac:dyDescent="0.35">
      <c r="B127">
        <v>125</v>
      </c>
      <c r="C127">
        <v>255</v>
      </c>
      <c r="D127" t="s">
        <v>71</v>
      </c>
      <c r="F127" t="s">
        <v>296</v>
      </c>
      <c r="H127" s="3">
        <v>46247</v>
      </c>
      <c r="I127" s="58">
        <v>46255</v>
      </c>
      <c r="J127" t="s">
        <v>418</v>
      </c>
      <c r="K127">
        <v>1</v>
      </c>
    </row>
    <row r="128" spans="2:11" hidden="1" x14ac:dyDescent="0.35">
      <c r="B128">
        <v>126</v>
      </c>
      <c r="C128">
        <v>256</v>
      </c>
      <c r="D128" t="s">
        <v>21</v>
      </c>
      <c r="F128" t="s">
        <v>415</v>
      </c>
      <c r="H128" s="3">
        <v>46247</v>
      </c>
      <c r="I128" s="58">
        <v>46252</v>
      </c>
      <c r="J128" t="s">
        <v>418</v>
      </c>
      <c r="K128">
        <v>1</v>
      </c>
    </row>
    <row r="129" spans="2:11" hidden="1" x14ac:dyDescent="0.35">
      <c r="B129">
        <v>127</v>
      </c>
      <c r="C129">
        <v>257</v>
      </c>
      <c r="D129" t="s">
        <v>21</v>
      </c>
      <c r="F129" t="s">
        <v>415</v>
      </c>
      <c r="H129" s="3">
        <v>46247</v>
      </c>
      <c r="I129" s="58">
        <v>46252</v>
      </c>
      <c r="J129" t="s">
        <v>418</v>
      </c>
      <c r="K129">
        <v>1</v>
      </c>
    </row>
    <row r="130" spans="2:11" hidden="1" x14ac:dyDescent="0.35">
      <c r="B130">
        <v>128</v>
      </c>
      <c r="C130">
        <v>258</v>
      </c>
      <c r="D130" t="s">
        <v>21</v>
      </c>
      <c r="F130" t="s">
        <v>415</v>
      </c>
      <c r="H130" s="3">
        <v>46247</v>
      </c>
      <c r="I130" s="58">
        <v>46252</v>
      </c>
      <c r="J130" t="s">
        <v>418</v>
      </c>
      <c r="K130">
        <v>1</v>
      </c>
    </row>
    <row r="131" spans="2:11" hidden="1" x14ac:dyDescent="0.35">
      <c r="B131">
        <v>129</v>
      </c>
      <c r="C131">
        <v>259</v>
      </c>
      <c r="D131" t="s">
        <v>21</v>
      </c>
      <c r="F131" t="s">
        <v>415</v>
      </c>
      <c r="H131" s="3">
        <v>46247</v>
      </c>
      <c r="I131" s="58">
        <v>46252</v>
      </c>
      <c r="J131" t="s">
        <v>418</v>
      </c>
      <c r="K131">
        <v>1</v>
      </c>
    </row>
    <row r="132" spans="2:11" hidden="1" x14ac:dyDescent="0.35">
      <c r="B132">
        <v>130</v>
      </c>
      <c r="C132">
        <v>260</v>
      </c>
      <c r="D132" t="s">
        <v>21</v>
      </c>
      <c r="F132" t="s">
        <v>415</v>
      </c>
      <c r="H132" s="3">
        <v>46247</v>
      </c>
      <c r="I132" s="58">
        <v>46255</v>
      </c>
      <c r="J132" t="s">
        <v>418</v>
      </c>
      <c r="K132">
        <v>1</v>
      </c>
    </row>
    <row r="133" spans="2:11" hidden="1" x14ac:dyDescent="0.35">
      <c r="B133">
        <v>131</v>
      </c>
      <c r="C133">
        <v>261</v>
      </c>
      <c r="D133" t="s">
        <v>21</v>
      </c>
      <c r="F133" t="s">
        <v>415</v>
      </c>
      <c r="H133" s="3">
        <v>46247</v>
      </c>
      <c r="I133" s="58">
        <v>46252</v>
      </c>
      <c r="J133" t="s">
        <v>418</v>
      </c>
      <c r="K133">
        <v>1</v>
      </c>
    </row>
    <row r="134" spans="2:11" x14ac:dyDescent="0.35">
      <c r="B134">
        <v>132</v>
      </c>
      <c r="C134">
        <v>272</v>
      </c>
      <c r="D134" t="s">
        <v>69</v>
      </c>
      <c r="F134" t="s">
        <v>435</v>
      </c>
      <c r="H134" s="3">
        <v>46253</v>
      </c>
      <c r="J134" t="s">
        <v>410</v>
      </c>
      <c r="K134">
        <v>1</v>
      </c>
    </row>
    <row r="135" spans="2:11" x14ac:dyDescent="0.35">
      <c r="B135">
        <v>133</v>
      </c>
      <c r="C135">
        <v>273</v>
      </c>
      <c r="D135" t="s">
        <v>42</v>
      </c>
      <c r="F135" t="s">
        <v>9</v>
      </c>
      <c r="H135" s="3">
        <v>46253</v>
      </c>
      <c r="J135" t="s">
        <v>416</v>
      </c>
      <c r="K135">
        <v>1</v>
      </c>
    </row>
    <row r="136" spans="2:11" x14ac:dyDescent="0.35">
      <c r="B136">
        <v>134</v>
      </c>
      <c r="C136">
        <v>274</v>
      </c>
      <c r="D136" t="s">
        <v>42</v>
      </c>
      <c r="F136" t="s">
        <v>9</v>
      </c>
      <c r="H136" s="3">
        <v>46253</v>
      </c>
      <c r="J136" t="s">
        <v>410</v>
      </c>
      <c r="K136">
        <v>1</v>
      </c>
    </row>
    <row r="137" spans="2:11" x14ac:dyDescent="0.35">
      <c r="B137">
        <v>135</v>
      </c>
      <c r="C137">
        <v>275</v>
      </c>
      <c r="D137" t="s">
        <v>42</v>
      </c>
      <c r="F137" t="s">
        <v>435</v>
      </c>
      <c r="H137" s="3">
        <v>46253</v>
      </c>
      <c r="J137" t="s">
        <v>440</v>
      </c>
      <c r="K137">
        <v>1</v>
      </c>
    </row>
    <row r="138" spans="2:11" hidden="1" x14ac:dyDescent="0.35">
      <c r="B138">
        <v>136</v>
      </c>
      <c r="C138">
        <v>276</v>
      </c>
      <c r="D138" t="s">
        <v>31</v>
      </c>
      <c r="F138" t="s">
        <v>435</v>
      </c>
      <c r="H138" s="3">
        <v>46253</v>
      </c>
      <c r="I138" s="58">
        <v>46267</v>
      </c>
      <c r="J138" t="s">
        <v>24</v>
      </c>
      <c r="K138">
        <v>1</v>
      </c>
    </row>
    <row r="139" spans="2:11" hidden="1" x14ac:dyDescent="0.35">
      <c r="B139">
        <v>137</v>
      </c>
      <c r="C139">
        <v>277</v>
      </c>
      <c r="D139" t="s">
        <v>454</v>
      </c>
      <c r="F139" t="s">
        <v>449</v>
      </c>
      <c r="H139" s="3">
        <v>46253</v>
      </c>
      <c r="I139" s="58">
        <v>46255</v>
      </c>
      <c r="J139" t="s">
        <v>24</v>
      </c>
      <c r="K139">
        <v>4</v>
      </c>
    </row>
    <row r="140" spans="2:11" hidden="1" x14ac:dyDescent="0.35">
      <c r="B140">
        <v>138</v>
      </c>
      <c r="C140">
        <v>278</v>
      </c>
      <c r="D140" t="s">
        <v>69</v>
      </c>
      <c r="F140" t="s">
        <v>449</v>
      </c>
      <c r="H140" s="3">
        <v>46253</v>
      </c>
      <c r="I140" s="58">
        <v>46255</v>
      </c>
      <c r="J140" t="s">
        <v>24</v>
      </c>
      <c r="K140">
        <v>4</v>
      </c>
    </row>
    <row r="141" spans="2:11" hidden="1" x14ac:dyDescent="0.35">
      <c r="B141">
        <v>139</v>
      </c>
      <c r="C141">
        <v>0</v>
      </c>
      <c r="D141" t="s">
        <v>455</v>
      </c>
      <c r="F141" t="s">
        <v>60</v>
      </c>
      <c r="H141" s="3">
        <v>46254</v>
      </c>
      <c r="I141" s="58">
        <v>46260</v>
      </c>
      <c r="J141" t="s">
        <v>436</v>
      </c>
      <c r="K141">
        <v>3</v>
      </c>
    </row>
    <row r="142" spans="2:11" hidden="1" x14ac:dyDescent="0.35">
      <c r="B142">
        <v>140</v>
      </c>
      <c r="C142">
        <v>0</v>
      </c>
      <c r="D142" t="s">
        <v>455</v>
      </c>
      <c r="F142" t="s">
        <v>60</v>
      </c>
      <c r="H142" s="3">
        <v>46254</v>
      </c>
      <c r="I142" s="58">
        <v>46260</v>
      </c>
      <c r="J142" t="s">
        <v>442</v>
      </c>
      <c r="K142">
        <v>3</v>
      </c>
    </row>
    <row r="143" spans="2:11" hidden="1" x14ac:dyDescent="0.35">
      <c r="B143">
        <v>141</v>
      </c>
      <c r="C143">
        <v>0</v>
      </c>
      <c r="D143" t="s">
        <v>455</v>
      </c>
      <c r="F143" t="s">
        <v>60</v>
      </c>
      <c r="H143" s="3">
        <v>46254</v>
      </c>
      <c r="I143" s="58">
        <v>46260</v>
      </c>
      <c r="J143" t="s">
        <v>456</v>
      </c>
      <c r="K143">
        <v>3</v>
      </c>
    </row>
    <row r="144" spans="2:11" hidden="1" x14ac:dyDescent="0.35">
      <c r="B144">
        <v>142</v>
      </c>
      <c r="D144" t="s">
        <v>455</v>
      </c>
      <c r="F144" t="s">
        <v>60</v>
      </c>
      <c r="H144" s="3">
        <v>46254</v>
      </c>
      <c r="I144" s="58">
        <v>46255</v>
      </c>
      <c r="J144" t="s">
        <v>436</v>
      </c>
      <c r="K144">
        <v>3</v>
      </c>
    </row>
    <row r="145" spans="2:11" hidden="1" x14ac:dyDescent="0.35">
      <c r="B145">
        <v>143</v>
      </c>
      <c r="C145">
        <v>282</v>
      </c>
      <c r="D145" t="s">
        <v>457</v>
      </c>
      <c r="F145" t="s">
        <v>112</v>
      </c>
      <c r="H145" s="3">
        <v>46255</v>
      </c>
      <c r="I145" s="58">
        <v>46267</v>
      </c>
      <c r="J145" t="s">
        <v>416</v>
      </c>
      <c r="K145">
        <v>2</v>
      </c>
    </row>
    <row r="146" spans="2:11" hidden="1" x14ac:dyDescent="0.35">
      <c r="B146">
        <v>144</v>
      </c>
      <c r="C146">
        <v>283</v>
      </c>
      <c r="D146" t="s">
        <v>458</v>
      </c>
      <c r="F146" t="s">
        <v>112</v>
      </c>
      <c r="H146" s="3">
        <v>46255</v>
      </c>
      <c r="I146" s="58">
        <v>46267</v>
      </c>
      <c r="J146" t="s">
        <v>410</v>
      </c>
      <c r="K146">
        <v>4</v>
      </c>
    </row>
    <row r="147" spans="2:11" x14ac:dyDescent="0.35">
      <c r="B147">
        <v>153</v>
      </c>
      <c r="C147">
        <v>280</v>
      </c>
      <c r="D147" t="s">
        <v>23</v>
      </c>
      <c r="F147" t="s">
        <v>444</v>
      </c>
      <c r="H147" s="3">
        <v>46255</v>
      </c>
      <c r="J147" t="s">
        <v>443</v>
      </c>
      <c r="K147">
        <v>1</v>
      </c>
    </row>
    <row r="148" spans="2:11" x14ac:dyDescent="0.35">
      <c r="B148">
        <v>154</v>
      </c>
      <c r="C148">
        <v>281</v>
      </c>
      <c r="D148" t="s">
        <v>38</v>
      </c>
      <c r="F148" t="s">
        <v>296</v>
      </c>
      <c r="H148" s="3">
        <v>46255</v>
      </c>
      <c r="J148" t="s">
        <v>440</v>
      </c>
      <c r="K148">
        <v>1</v>
      </c>
    </row>
    <row r="149" spans="2:11" x14ac:dyDescent="0.35">
      <c r="B149">
        <v>145</v>
      </c>
      <c r="C149">
        <v>284</v>
      </c>
      <c r="D149" t="s">
        <v>45</v>
      </c>
      <c r="F149" t="s">
        <v>412</v>
      </c>
      <c r="H149" s="3">
        <v>46255</v>
      </c>
      <c r="J149" t="s">
        <v>410</v>
      </c>
      <c r="K149">
        <v>1</v>
      </c>
    </row>
    <row r="150" spans="2:11" hidden="1" x14ac:dyDescent="0.35">
      <c r="B150">
        <v>148</v>
      </c>
      <c r="C150">
        <v>286</v>
      </c>
      <c r="D150" t="s">
        <v>448</v>
      </c>
      <c r="F150" t="s">
        <v>60</v>
      </c>
      <c r="H150" s="3">
        <v>46255</v>
      </c>
      <c r="I150" s="58">
        <v>46267</v>
      </c>
      <c r="J150" t="s">
        <v>410</v>
      </c>
      <c r="K150">
        <v>1</v>
      </c>
    </row>
    <row r="151" spans="2:11" hidden="1" x14ac:dyDescent="0.35">
      <c r="B151">
        <v>149</v>
      </c>
      <c r="C151">
        <v>287</v>
      </c>
      <c r="D151" t="s">
        <v>49</v>
      </c>
      <c r="F151" t="s">
        <v>60</v>
      </c>
      <c r="H151" s="3">
        <v>46255</v>
      </c>
      <c r="I151" s="58">
        <v>46267</v>
      </c>
      <c r="J151" t="s">
        <v>410</v>
      </c>
      <c r="K151">
        <v>1</v>
      </c>
    </row>
    <row r="152" spans="2:11" hidden="1" x14ac:dyDescent="0.35">
      <c r="B152">
        <v>150</v>
      </c>
      <c r="C152">
        <v>0</v>
      </c>
      <c r="D152" t="s">
        <v>73</v>
      </c>
      <c r="F152" t="s">
        <v>60</v>
      </c>
      <c r="H152" s="3">
        <v>46255</v>
      </c>
      <c r="I152" s="58">
        <v>46257</v>
      </c>
      <c r="J152" t="s">
        <v>436</v>
      </c>
      <c r="K152">
        <v>3</v>
      </c>
    </row>
    <row r="153" spans="2:11" hidden="1" x14ac:dyDescent="0.35">
      <c r="B153">
        <v>151</v>
      </c>
      <c r="C153">
        <v>0</v>
      </c>
      <c r="D153" t="s">
        <v>73</v>
      </c>
      <c r="F153" t="s">
        <v>60</v>
      </c>
      <c r="H153" s="3">
        <v>46255</v>
      </c>
      <c r="I153" s="58">
        <v>46257</v>
      </c>
      <c r="J153" t="s">
        <v>436</v>
      </c>
      <c r="K153">
        <v>3</v>
      </c>
    </row>
    <row r="154" spans="2:11" hidden="1" x14ac:dyDescent="0.35">
      <c r="B154">
        <v>152</v>
      </c>
      <c r="C154">
        <v>279</v>
      </c>
      <c r="D154" t="s">
        <v>58</v>
      </c>
      <c r="F154" t="s">
        <v>444</v>
      </c>
      <c r="H154" s="3">
        <v>46255</v>
      </c>
      <c r="I154" s="58">
        <v>46267</v>
      </c>
      <c r="J154" t="s">
        <v>440</v>
      </c>
      <c r="K154">
        <v>1</v>
      </c>
    </row>
    <row r="155" spans="2:11" x14ac:dyDescent="0.35">
      <c r="B155">
        <v>147</v>
      </c>
      <c r="C155">
        <v>285</v>
      </c>
      <c r="D155" t="s">
        <v>53</v>
      </c>
      <c r="F155" t="s">
        <v>112</v>
      </c>
      <c r="H155" s="3">
        <v>46255</v>
      </c>
      <c r="J155" t="s">
        <v>410</v>
      </c>
      <c r="K155">
        <v>1</v>
      </c>
    </row>
    <row r="156" spans="2:11" x14ac:dyDescent="0.35">
      <c r="B156">
        <v>155</v>
      </c>
      <c r="C156">
        <v>289</v>
      </c>
      <c r="D156" t="s">
        <v>458</v>
      </c>
      <c r="F156" t="s">
        <v>9</v>
      </c>
      <c r="H156" s="3">
        <v>46267</v>
      </c>
      <c r="J156" t="s">
        <v>436</v>
      </c>
      <c r="K156">
        <v>1</v>
      </c>
    </row>
    <row r="157" spans="2:11" x14ac:dyDescent="0.35">
      <c r="B157">
        <v>156</v>
      </c>
      <c r="C157">
        <v>290</v>
      </c>
      <c r="D157" t="s">
        <v>12</v>
      </c>
      <c r="F157" t="s">
        <v>437</v>
      </c>
      <c r="H157" s="3">
        <v>46267</v>
      </c>
      <c r="J157" t="s">
        <v>436</v>
      </c>
      <c r="K157">
        <v>1</v>
      </c>
    </row>
    <row r="158" spans="2:11" x14ac:dyDescent="0.35">
      <c r="B158">
        <v>157</v>
      </c>
      <c r="C158">
        <v>291</v>
      </c>
      <c r="D158" t="s">
        <v>459</v>
      </c>
      <c r="F158" t="s">
        <v>112</v>
      </c>
      <c r="H158" s="3">
        <v>46267</v>
      </c>
      <c r="J158" t="s">
        <v>436</v>
      </c>
      <c r="K158">
        <v>1</v>
      </c>
    </row>
    <row r="159" spans="2:11" x14ac:dyDescent="0.35">
      <c r="B159">
        <v>158</v>
      </c>
      <c r="C159">
        <v>292</v>
      </c>
      <c r="D159" t="s">
        <v>12</v>
      </c>
      <c r="F159" t="s">
        <v>112</v>
      </c>
      <c r="H159" s="3">
        <v>46267</v>
      </c>
      <c r="J159" t="s">
        <v>436</v>
      </c>
      <c r="K159">
        <v>1</v>
      </c>
    </row>
    <row r="160" spans="2:11" x14ac:dyDescent="0.35">
      <c r="B160">
        <v>20</v>
      </c>
      <c r="C160">
        <v>17009</v>
      </c>
      <c r="D160" t="s">
        <v>71</v>
      </c>
      <c r="F160" t="s">
        <v>411</v>
      </c>
      <c r="H160" s="3">
        <v>46202</v>
      </c>
      <c r="J160" t="s">
        <v>410</v>
      </c>
      <c r="K160">
        <v>4</v>
      </c>
    </row>
    <row r="161" spans="2:11" x14ac:dyDescent="0.35">
      <c r="B161">
        <v>21</v>
      </c>
      <c r="C161">
        <v>17326</v>
      </c>
      <c r="D161" t="s">
        <v>53</v>
      </c>
      <c r="F161" t="s">
        <v>412</v>
      </c>
      <c r="H161" s="3">
        <v>46235</v>
      </c>
      <c r="J161" t="s">
        <v>410</v>
      </c>
      <c r="K161">
        <v>4</v>
      </c>
    </row>
    <row r="162" spans="2:11" x14ac:dyDescent="0.35">
      <c r="B162">
        <v>160</v>
      </c>
    </row>
    <row r="163" spans="2:11" x14ac:dyDescent="0.35">
      <c r="B163">
        <v>161</v>
      </c>
    </row>
    <row r="164" spans="2:11" x14ac:dyDescent="0.35">
      <c r="B164">
        <v>162</v>
      </c>
    </row>
    <row r="199" spans="3:5" x14ac:dyDescent="0.35">
      <c r="C199">
        <f>D199/E199</f>
        <v>17.5</v>
      </c>
      <c r="D199">
        <v>350</v>
      </c>
      <c r="E199">
        <v>20</v>
      </c>
    </row>
    <row r="200" spans="3:5" x14ac:dyDescent="0.35">
      <c r="D200">
        <f>C199*50</f>
        <v>875</v>
      </c>
    </row>
  </sheetData>
  <autoFilter ref="B2:K164" xr:uid="{A6D7B984-BA49-4525-9710-F61743336F5D}">
    <filterColumn colId="7">
      <filters blank="1"/>
    </filterColumn>
    <sortState xmlns:xlrd2="http://schemas.microsoft.com/office/spreadsheetml/2017/richdata2" ref="B4:K164">
      <sortCondition ref="C2:C164"/>
    </sortState>
  </autoFilter>
  <phoneticPr fontId="5" type="noConversion"/>
  <pageMargins left="0.7" right="0.7" top="0.75" bottom="0.75" header="0.3" footer="0.3"/>
  <pageSetup scale="58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2602-532E-46E5-AA28-CF8BE9B360F6}">
  <dimension ref="A1:Q34"/>
  <sheetViews>
    <sheetView topLeftCell="A14" workbookViewId="0">
      <selection activeCell="O31" sqref="O31"/>
    </sheetView>
  </sheetViews>
  <sheetFormatPr defaultRowHeight="14.5" x14ac:dyDescent="0.35"/>
  <cols>
    <col min="2" max="2" width="14.81640625" bestFit="1" customWidth="1"/>
    <col min="3" max="3" width="40.81640625" customWidth="1"/>
    <col min="4" max="4" width="9.26953125" bestFit="1" customWidth="1"/>
    <col min="5" max="5" width="10.54296875" bestFit="1" customWidth="1"/>
    <col min="6" max="6" width="10.54296875" customWidth="1"/>
    <col min="7" max="7" width="6.1796875" bestFit="1" customWidth="1"/>
    <col min="8" max="8" width="16" customWidth="1"/>
    <col min="9" max="9" width="30.1796875" customWidth="1"/>
    <col min="10" max="10" width="9.26953125" bestFit="1" customWidth="1"/>
    <col min="11" max="12" width="7.26953125" bestFit="1" customWidth="1"/>
    <col min="13" max="13" width="6.1796875" bestFit="1" customWidth="1"/>
    <col min="14" max="14" width="20.453125" customWidth="1"/>
    <col min="15" max="15" width="30.1796875" customWidth="1"/>
    <col min="16" max="16" width="9.81640625" customWidth="1"/>
    <col min="17" max="17" width="8.81640625" customWidth="1"/>
    <col min="18" max="19" width="5.81640625" bestFit="1" customWidth="1"/>
    <col min="20" max="20" width="6.81640625" bestFit="1" customWidth="1"/>
    <col min="21" max="21" width="5.81640625" bestFit="1" customWidth="1"/>
    <col min="22" max="22" width="5.7265625" bestFit="1" customWidth="1"/>
    <col min="23" max="23" width="6.26953125" bestFit="1" customWidth="1"/>
    <col min="24" max="24" width="10.26953125" bestFit="1" customWidth="1"/>
    <col min="25" max="25" width="10.7265625" bestFit="1" customWidth="1"/>
    <col min="26" max="26" width="9.26953125" bestFit="1" customWidth="1"/>
    <col min="27" max="27" width="11.81640625" bestFit="1" customWidth="1"/>
    <col min="28" max="28" width="16.453125" bestFit="1" customWidth="1"/>
    <col min="29" max="29" width="10.7265625" bestFit="1" customWidth="1"/>
    <col min="30" max="30" width="26.453125" bestFit="1" customWidth="1"/>
    <col min="31" max="31" width="10.54296875" bestFit="1" customWidth="1"/>
    <col min="32" max="32" width="13.26953125" bestFit="1" customWidth="1"/>
    <col min="33" max="33" width="10.7265625" bestFit="1" customWidth="1"/>
    <col min="34" max="34" width="9.26953125" bestFit="1" customWidth="1"/>
    <col min="35" max="35" width="10.54296875" bestFit="1" customWidth="1"/>
    <col min="36" max="36" width="57.26953125" bestFit="1" customWidth="1"/>
    <col min="37" max="37" width="10.54296875" bestFit="1" customWidth="1"/>
    <col min="38" max="38" width="10.26953125" bestFit="1" customWidth="1"/>
    <col min="39" max="39" width="9.26953125" bestFit="1" customWidth="1"/>
    <col min="40" max="40" width="11.7265625" bestFit="1" customWidth="1"/>
    <col min="41" max="41" width="11.453125" bestFit="1" customWidth="1"/>
    <col min="42" max="42" width="9.26953125" bestFit="1" customWidth="1"/>
    <col min="43" max="43" width="11.7265625" bestFit="1" customWidth="1"/>
    <col min="44" max="44" width="10.453125" bestFit="1" customWidth="1"/>
    <col min="45" max="45" width="9.26953125" bestFit="1" customWidth="1"/>
    <col min="46" max="46" width="10.26953125" bestFit="1" customWidth="1"/>
    <col min="47" max="47" width="9.26953125" bestFit="1" customWidth="1"/>
    <col min="48" max="48" width="16.453125" bestFit="1" customWidth="1"/>
    <col min="49" max="50" width="10.26953125" bestFit="1" customWidth="1"/>
    <col min="51" max="51" width="11" bestFit="1" customWidth="1"/>
    <col min="52" max="52" width="10.54296875" bestFit="1" customWidth="1"/>
  </cols>
  <sheetData>
    <row r="1" spans="1:17" x14ac:dyDescent="0.35">
      <c r="D1" s="107">
        <v>46248</v>
      </c>
      <c r="E1" s="107"/>
      <c r="J1" s="107">
        <v>46249</v>
      </c>
      <c r="K1" s="107"/>
      <c r="P1" s="107">
        <v>46252</v>
      </c>
      <c r="Q1" s="107"/>
    </row>
    <row r="2" spans="1:17" ht="29" x14ac:dyDescent="0.35">
      <c r="A2" t="s">
        <v>460</v>
      </c>
      <c r="B2" s="42" t="s">
        <v>461</v>
      </c>
      <c r="C2" s="42" t="s">
        <v>462</v>
      </c>
      <c r="D2" s="83" t="s">
        <v>463</v>
      </c>
      <c r="E2" t="s">
        <v>464</v>
      </c>
      <c r="G2" t="s">
        <v>460</v>
      </c>
      <c r="H2" s="42" t="s">
        <v>461</v>
      </c>
      <c r="I2" s="42" t="s">
        <v>462</v>
      </c>
      <c r="J2" s="83" t="s">
        <v>463</v>
      </c>
      <c r="K2" t="s">
        <v>464</v>
      </c>
      <c r="M2" s="83" t="s">
        <v>460</v>
      </c>
      <c r="N2" s="42" t="s">
        <v>461</v>
      </c>
      <c r="O2" s="42" t="s">
        <v>462</v>
      </c>
      <c r="P2" s="83" t="s">
        <v>463</v>
      </c>
      <c r="Q2" s="83" t="s">
        <v>464</v>
      </c>
    </row>
    <row r="3" spans="1:17" x14ac:dyDescent="0.35">
      <c r="A3">
        <v>1</v>
      </c>
      <c r="B3" s="43" t="s">
        <v>31</v>
      </c>
      <c r="C3" s="43" t="s">
        <v>465</v>
      </c>
      <c r="D3" s="82">
        <v>6</v>
      </c>
      <c r="E3">
        <v>0</v>
      </c>
      <c r="G3">
        <v>1</v>
      </c>
      <c r="H3" t="s">
        <v>12</v>
      </c>
      <c r="I3" t="s">
        <v>466</v>
      </c>
      <c r="J3">
        <v>4</v>
      </c>
      <c r="K3">
        <v>0</v>
      </c>
      <c r="M3" s="82">
        <v>1</v>
      </c>
      <c r="N3" s="43" t="s">
        <v>31</v>
      </c>
      <c r="O3" t="s">
        <v>283</v>
      </c>
      <c r="P3" s="82">
        <v>3</v>
      </c>
      <c r="Q3" s="82">
        <v>1</v>
      </c>
    </row>
    <row r="4" spans="1:17" x14ac:dyDescent="0.35">
      <c r="A4">
        <v>2</v>
      </c>
      <c r="B4" s="43" t="s">
        <v>12</v>
      </c>
      <c r="C4" s="43" t="s">
        <v>467</v>
      </c>
      <c r="D4" s="82">
        <v>4</v>
      </c>
      <c r="E4">
        <v>0</v>
      </c>
      <c r="G4">
        <v>2</v>
      </c>
      <c r="H4" t="s">
        <v>12</v>
      </c>
      <c r="I4" t="s">
        <v>468</v>
      </c>
      <c r="J4">
        <v>4</v>
      </c>
      <c r="K4">
        <v>4</v>
      </c>
      <c r="M4" s="82">
        <v>2</v>
      </c>
      <c r="N4" s="43" t="s">
        <v>12</v>
      </c>
      <c r="O4" t="s">
        <v>469</v>
      </c>
      <c r="P4" s="82">
        <v>2</v>
      </c>
      <c r="Q4" s="82">
        <v>2</v>
      </c>
    </row>
    <row r="5" spans="1:17" x14ac:dyDescent="0.35">
      <c r="A5">
        <v>3</v>
      </c>
      <c r="B5" s="43" t="s">
        <v>470</v>
      </c>
      <c r="C5" s="43" t="s">
        <v>471</v>
      </c>
      <c r="D5" s="82">
        <v>4</v>
      </c>
      <c r="E5">
        <v>3</v>
      </c>
      <c r="G5">
        <v>3</v>
      </c>
      <c r="H5" t="s">
        <v>470</v>
      </c>
      <c r="I5" t="s">
        <v>472</v>
      </c>
      <c r="J5">
        <v>2</v>
      </c>
      <c r="K5">
        <v>1</v>
      </c>
      <c r="M5" s="82">
        <v>3</v>
      </c>
      <c r="N5" s="43" t="s">
        <v>470</v>
      </c>
      <c r="O5" t="s">
        <v>473</v>
      </c>
      <c r="P5" s="82">
        <v>1</v>
      </c>
      <c r="Q5" s="82">
        <v>1</v>
      </c>
    </row>
    <row r="6" spans="1:17" x14ac:dyDescent="0.35">
      <c r="A6">
        <v>4</v>
      </c>
      <c r="B6" s="43" t="s">
        <v>452</v>
      </c>
      <c r="C6" s="43" t="s">
        <v>474</v>
      </c>
      <c r="D6" s="82">
        <v>3</v>
      </c>
      <c r="E6">
        <v>1.5</v>
      </c>
      <c r="G6">
        <v>4</v>
      </c>
      <c r="H6" t="s">
        <v>65</v>
      </c>
      <c r="I6" t="s">
        <v>475</v>
      </c>
      <c r="J6">
        <v>2</v>
      </c>
      <c r="K6">
        <v>1</v>
      </c>
      <c r="M6" s="82">
        <v>4</v>
      </c>
      <c r="N6" s="43" t="s">
        <v>452</v>
      </c>
      <c r="O6" t="s">
        <v>473</v>
      </c>
      <c r="P6" s="82">
        <v>2</v>
      </c>
      <c r="Q6" s="82">
        <v>2</v>
      </c>
    </row>
    <row r="7" spans="1:17" ht="29" x14ac:dyDescent="0.35">
      <c r="A7">
        <v>5</v>
      </c>
      <c r="B7" s="43" t="s">
        <v>65</v>
      </c>
      <c r="C7" s="43" t="s">
        <v>476</v>
      </c>
      <c r="D7" s="82">
        <v>2</v>
      </c>
      <c r="E7">
        <v>2</v>
      </c>
      <c r="G7">
        <v>5</v>
      </c>
      <c r="H7" t="s">
        <v>477</v>
      </c>
      <c r="I7" t="s">
        <v>478</v>
      </c>
      <c r="J7">
        <v>2</v>
      </c>
      <c r="K7">
        <v>2</v>
      </c>
      <c r="M7" s="82">
        <v>5</v>
      </c>
      <c r="N7" s="43" t="s">
        <v>39</v>
      </c>
      <c r="O7" t="s">
        <v>479</v>
      </c>
      <c r="P7" s="82">
        <v>6</v>
      </c>
      <c r="Q7" s="82">
        <v>6</v>
      </c>
    </row>
    <row r="8" spans="1:17" x14ac:dyDescent="0.35">
      <c r="A8">
        <v>6</v>
      </c>
      <c r="B8" s="43" t="s">
        <v>42</v>
      </c>
      <c r="C8" s="43" t="s">
        <v>480</v>
      </c>
      <c r="D8" s="82">
        <v>4</v>
      </c>
      <c r="E8">
        <v>0</v>
      </c>
      <c r="G8">
        <v>6</v>
      </c>
      <c r="H8" t="s">
        <v>71</v>
      </c>
      <c r="I8" t="s">
        <v>478</v>
      </c>
      <c r="J8">
        <v>4</v>
      </c>
      <c r="K8">
        <v>4</v>
      </c>
      <c r="M8" s="82">
        <v>6</v>
      </c>
      <c r="N8" s="43" t="s">
        <v>35</v>
      </c>
      <c r="O8" t="s">
        <v>481</v>
      </c>
      <c r="P8" s="82">
        <v>12</v>
      </c>
      <c r="Q8" s="82">
        <v>0</v>
      </c>
    </row>
    <row r="9" spans="1:17" x14ac:dyDescent="0.35">
      <c r="A9">
        <v>7</v>
      </c>
      <c r="B9" s="43" t="s">
        <v>38</v>
      </c>
      <c r="C9" s="43" t="s">
        <v>482</v>
      </c>
      <c r="D9" s="82">
        <v>1</v>
      </c>
      <c r="E9">
        <v>0</v>
      </c>
      <c r="G9">
        <v>7</v>
      </c>
      <c r="H9" t="s">
        <v>39</v>
      </c>
      <c r="I9" t="s">
        <v>483</v>
      </c>
      <c r="J9">
        <v>3</v>
      </c>
      <c r="K9">
        <v>3</v>
      </c>
      <c r="M9" s="82">
        <v>7</v>
      </c>
      <c r="N9" s="43" t="s">
        <v>484</v>
      </c>
      <c r="O9" t="s">
        <v>485</v>
      </c>
      <c r="P9" s="82">
        <v>2</v>
      </c>
      <c r="Q9" s="82">
        <v>2</v>
      </c>
    </row>
    <row r="10" spans="1:17" x14ac:dyDescent="0.35">
      <c r="A10">
        <v>8</v>
      </c>
      <c r="B10" s="43" t="s">
        <v>73</v>
      </c>
      <c r="C10" s="43" t="s">
        <v>483</v>
      </c>
      <c r="D10" s="82">
        <v>3</v>
      </c>
      <c r="E10">
        <v>0</v>
      </c>
      <c r="G10">
        <v>8</v>
      </c>
      <c r="H10" t="s">
        <v>39</v>
      </c>
      <c r="I10" t="s">
        <v>486</v>
      </c>
      <c r="J10">
        <v>4</v>
      </c>
      <c r="K10">
        <v>4</v>
      </c>
      <c r="M10" s="82">
        <v>8</v>
      </c>
      <c r="N10" s="43" t="s">
        <v>37</v>
      </c>
      <c r="O10" t="s">
        <v>487</v>
      </c>
      <c r="P10" s="82">
        <v>1</v>
      </c>
      <c r="Q10" s="82">
        <v>0</v>
      </c>
    </row>
    <row r="11" spans="1:17" x14ac:dyDescent="0.35">
      <c r="A11">
        <v>9</v>
      </c>
      <c r="B11" s="43" t="s">
        <v>53</v>
      </c>
      <c r="C11" s="43" t="s">
        <v>488</v>
      </c>
      <c r="D11" s="82">
        <v>4</v>
      </c>
      <c r="E11">
        <v>2</v>
      </c>
      <c r="G11">
        <v>9</v>
      </c>
      <c r="H11" t="s">
        <v>489</v>
      </c>
      <c r="I11" t="s">
        <v>490</v>
      </c>
      <c r="J11">
        <v>6</v>
      </c>
      <c r="K11">
        <v>6</v>
      </c>
      <c r="M11" s="82">
        <v>9</v>
      </c>
      <c r="N11" s="43" t="s">
        <v>23</v>
      </c>
      <c r="O11" t="s">
        <v>487</v>
      </c>
      <c r="P11" s="82">
        <v>1</v>
      </c>
      <c r="Q11" s="82">
        <v>0</v>
      </c>
    </row>
    <row r="12" spans="1:17" x14ac:dyDescent="0.35">
      <c r="A12">
        <v>10</v>
      </c>
      <c r="B12" s="43" t="s">
        <v>393</v>
      </c>
      <c r="C12" s="43" t="s">
        <v>491</v>
      </c>
      <c r="D12" s="82">
        <v>3</v>
      </c>
      <c r="E12">
        <v>0</v>
      </c>
      <c r="G12">
        <v>10</v>
      </c>
      <c r="H12" t="s">
        <v>35</v>
      </c>
      <c r="I12" t="s">
        <v>492</v>
      </c>
      <c r="J12">
        <v>1</v>
      </c>
      <c r="K12">
        <v>1</v>
      </c>
      <c r="M12" s="82">
        <v>10</v>
      </c>
      <c r="N12" s="43" t="s">
        <v>92</v>
      </c>
      <c r="O12" t="s">
        <v>493</v>
      </c>
      <c r="P12" s="82">
        <v>29</v>
      </c>
      <c r="Q12" s="82">
        <v>29</v>
      </c>
    </row>
    <row r="13" spans="1:17" x14ac:dyDescent="0.35">
      <c r="A13">
        <v>11</v>
      </c>
      <c r="B13" s="43" t="s">
        <v>494</v>
      </c>
      <c r="C13" s="43" t="s">
        <v>495</v>
      </c>
      <c r="D13" s="82">
        <v>6</v>
      </c>
      <c r="E13">
        <v>0</v>
      </c>
      <c r="G13">
        <v>11</v>
      </c>
      <c r="H13" t="s">
        <v>484</v>
      </c>
      <c r="I13" t="s">
        <v>478</v>
      </c>
      <c r="J13">
        <v>2</v>
      </c>
      <c r="K13">
        <v>2</v>
      </c>
      <c r="M13" s="82">
        <v>11</v>
      </c>
      <c r="N13" s="43" t="s">
        <v>496</v>
      </c>
      <c r="O13" t="s">
        <v>487</v>
      </c>
      <c r="P13" s="82">
        <v>3</v>
      </c>
      <c r="Q13" s="82">
        <v>0</v>
      </c>
    </row>
    <row r="14" spans="1:17" x14ac:dyDescent="0.35">
      <c r="A14">
        <v>12</v>
      </c>
      <c r="B14" s="43" t="s">
        <v>497</v>
      </c>
      <c r="C14" s="43" t="s">
        <v>498</v>
      </c>
      <c r="D14" s="82">
        <v>10</v>
      </c>
      <c r="E14">
        <v>10</v>
      </c>
      <c r="G14">
        <v>12</v>
      </c>
      <c r="H14" t="s">
        <v>484</v>
      </c>
      <c r="I14" t="s">
        <v>499</v>
      </c>
      <c r="J14">
        <v>2</v>
      </c>
      <c r="K14">
        <v>2</v>
      </c>
      <c r="M14" s="82">
        <v>12</v>
      </c>
      <c r="N14" s="43" t="s">
        <v>289</v>
      </c>
      <c r="O14" t="s">
        <v>487</v>
      </c>
      <c r="P14" s="82">
        <v>5</v>
      </c>
      <c r="Q14" s="82">
        <v>0</v>
      </c>
    </row>
    <row r="15" spans="1:17" x14ac:dyDescent="0.35">
      <c r="A15">
        <v>13</v>
      </c>
      <c r="B15" s="43" t="s">
        <v>500</v>
      </c>
      <c r="C15" s="43" t="s">
        <v>501</v>
      </c>
      <c r="D15" s="82">
        <v>13</v>
      </c>
      <c r="E15">
        <v>0</v>
      </c>
      <c r="G15">
        <v>13</v>
      </c>
      <c r="H15" t="s">
        <v>37</v>
      </c>
      <c r="I15" t="s">
        <v>502</v>
      </c>
      <c r="J15">
        <v>1</v>
      </c>
      <c r="K15">
        <v>0</v>
      </c>
      <c r="M15" s="82">
        <v>13</v>
      </c>
      <c r="N15" s="43" t="s">
        <v>494</v>
      </c>
      <c r="O15" t="s">
        <v>487</v>
      </c>
      <c r="P15" s="82">
        <v>4</v>
      </c>
      <c r="Q15" s="82">
        <v>0</v>
      </c>
    </row>
    <row r="16" spans="1:17" x14ac:dyDescent="0.35">
      <c r="A16">
        <v>14</v>
      </c>
      <c r="B16" s="43" t="s">
        <v>503</v>
      </c>
      <c r="C16" s="43" t="s">
        <v>498</v>
      </c>
      <c r="D16" s="82">
        <v>5</v>
      </c>
      <c r="E16">
        <v>5</v>
      </c>
      <c r="G16">
        <v>14</v>
      </c>
      <c r="H16" t="s">
        <v>23</v>
      </c>
      <c r="I16" t="s">
        <v>502</v>
      </c>
      <c r="J16">
        <v>1</v>
      </c>
      <c r="K16">
        <v>0</v>
      </c>
      <c r="M16" s="82">
        <v>14</v>
      </c>
      <c r="N16" s="43" t="s">
        <v>434</v>
      </c>
      <c r="O16" t="s">
        <v>485</v>
      </c>
      <c r="P16" s="82">
        <v>1</v>
      </c>
      <c r="Q16" s="82">
        <v>1</v>
      </c>
    </row>
    <row r="17" spans="1:17" x14ac:dyDescent="0.35">
      <c r="A17">
        <v>15</v>
      </c>
      <c r="B17" s="43" t="s">
        <v>504</v>
      </c>
      <c r="C17" s="43" t="s">
        <v>505</v>
      </c>
      <c r="D17" s="82">
        <v>4</v>
      </c>
      <c r="E17">
        <v>0</v>
      </c>
      <c r="G17">
        <v>15</v>
      </c>
      <c r="H17" t="s">
        <v>496</v>
      </c>
      <c r="I17" t="s">
        <v>491</v>
      </c>
      <c r="J17">
        <v>3</v>
      </c>
      <c r="K17">
        <v>3</v>
      </c>
      <c r="M17" s="82">
        <v>15</v>
      </c>
      <c r="N17" s="43" t="s">
        <v>497</v>
      </c>
      <c r="O17" t="s">
        <v>506</v>
      </c>
      <c r="P17" s="82">
        <v>12</v>
      </c>
      <c r="Q17" s="82">
        <v>12</v>
      </c>
    </row>
    <row r="18" spans="1:17" x14ac:dyDescent="0.35">
      <c r="A18">
        <v>16</v>
      </c>
      <c r="B18" s="43" t="s">
        <v>507</v>
      </c>
      <c r="C18" s="43" t="s">
        <v>508</v>
      </c>
      <c r="D18" s="82">
        <v>10</v>
      </c>
      <c r="E18">
        <v>7.5</v>
      </c>
      <c r="G18">
        <v>16</v>
      </c>
      <c r="H18" t="s">
        <v>45</v>
      </c>
      <c r="I18" t="s">
        <v>502</v>
      </c>
      <c r="J18">
        <v>1</v>
      </c>
      <c r="K18">
        <v>0</v>
      </c>
      <c r="M18" s="82">
        <v>16</v>
      </c>
      <c r="N18" s="43" t="s">
        <v>509</v>
      </c>
      <c r="O18" t="s">
        <v>510</v>
      </c>
      <c r="P18" s="82">
        <v>9</v>
      </c>
      <c r="Q18" s="82">
        <v>9</v>
      </c>
    </row>
    <row r="19" spans="1:17" x14ac:dyDescent="0.35">
      <c r="A19">
        <v>17</v>
      </c>
      <c r="B19" s="43" t="s">
        <v>511</v>
      </c>
      <c r="C19" s="43" t="s">
        <v>501</v>
      </c>
      <c r="D19" s="82">
        <v>8</v>
      </c>
      <c r="E19">
        <v>0</v>
      </c>
      <c r="G19">
        <v>17</v>
      </c>
      <c r="H19" t="s">
        <v>393</v>
      </c>
      <c r="I19" t="s">
        <v>492</v>
      </c>
      <c r="J19">
        <v>8</v>
      </c>
      <c r="K19">
        <v>0</v>
      </c>
      <c r="M19" s="82">
        <v>17</v>
      </c>
      <c r="N19" s="43" t="s">
        <v>500</v>
      </c>
      <c r="O19" t="s">
        <v>487</v>
      </c>
      <c r="P19" s="82">
        <v>4</v>
      </c>
      <c r="Q19" s="82">
        <v>0</v>
      </c>
    </row>
    <row r="20" spans="1:17" x14ac:dyDescent="0.35">
      <c r="A20">
        <v>18</v>
      </c>
      <c r="B20" s="43" t="s">
        <v>512</v>
      </c>
      <c r="C20" s="43" t="s">
        <v>501</v>
      </c>
      <c r="D20" s="82">
        <v>12</v>
      </c>
      <c r="E20">
        <v>6</v>
      </c>
      <c r="G20">
        <v>18</v>
      </c>
      <c r="H20" t="s">
        <v>494</v>
      </c>
      <c r="I20" t="s">
        <v>495</v>
      </c>
      <c r="J20">
        <v>6</v>
      </c>
      <c r="K20">
        <v>0</v>
      </c>
      <c r="M20" s="82">
        <v>18</v>
      </c>
      <c r="N20" s="43" t="s">
        <v>504</v>
      </c>
      <c r="O20" t="s">
        <v>487</v>
      </c>
      <c r="P20" s="82">
        <v>9</v>
      </c>
      <c r="Q20" s="82">
        <v>0</v>
      </c>
    </row>
    <row r="21" spans="1:17" x14ac:dyDescent="0.35">
      <c r="A21">
        <v>19</v>
      </c>
      <c r="B21" s="43" t="s">
        <v>513</v>
      </c>
      <c r="C21" s="43" t="s">
        <v>501</v>
      </c>
      <c r="D21" s="82">
        <v>9</v>
      </c>
      <c r="E21">
        <v>0</v>
      </c>
      <c r="G21">
        <v>19</v>
      </c>
      <c r="H21" t="s">
        <v>497</v>
      </c>
      <c r="I21" t="s">
        <v>498</v>
      </c>
      <c r="J21">
        <v>10</v>
      </c>
      <c r="K21">
        <v>10</v>
      </c>
      <c r="M21" s="82">
        <v>19</v>
      </c>
      <c r="N21" s="43" t="s">
        <v>507</v>
      </c>
      <c r="O21" t="s">
        <v>487</v>
      </c>
      <c r="P21" s="82">
        <v>4</v>
      </c>
      <c r="Q21" s="82">
        <v>0</v>
      </c>
    </row>
    <row r="22" spans="1:17" x14ac:dyDescent="0.35">
      <c r="A22">
        <v>20</v>
      </c>
      <c r="B22" s="43" t="s">
        <v>514</v>
      </c>
      <c r="C22" s="43" t="s">
        <v>498</v>
      </c>
      <c r="D22" s="82">
        <v>3</v>
      </c>
      <c r="E22">
        <v>0</v>
      </c>
      <c r="G22">
        <v>20</v>
      </c>
      <c r="H22" t="s">
        <v>500</v>
      </c>
      <c r="I22" t="s">
        <v>501</v>
      </c>
      <c r="J22">
        <v>13</v>
      </c>
      <c r="K22">
        <v>0</v>
      </c>
      <c r="M22" s="82">
        <v>20</v>
      </c>
      <c r="N22" s="43" t="s">
        <v>511</v>
      </c>
      <c r="O22" t="s">
        <v>487</v>
      </c>
      <c r="P22" s="82">
        <v>12</v>
      </c>
      <c r="Q22" s="82">
        <v>0</v>
      </c>
    </row>
    <row r="23" spans="1:17" x14ac:dyDescent="0.35">
      <c r="A23">
        <v>21</v>
      </c>
      <c r="B23" s="43" t="s">
        <v>515</v>
      </c>
      <c r="C23" s="43" t="s">
        <v>516</v>
      </c>
      <c r="D23" s="82">
        <v>4</v>
      </c>
      <c r="E23">
        <v>4</v>
      </c>
      <c r="G23">
        <v>21</v>
      </c>
      <c r="H23" t="s">
        <v>503</v>
      </c>
      <c r="I23" t="s">
        <v>498</v>
      </c>
      <c r="J23">
        <v>5</v>
      </c>
      <c r="K23">
        <v>5</v>
      </c>
      <c r="M23" s="82">
        <v>21</v>
      </c>
      <c r="N23" s="43" t="s">
        <v>512</v>
      </c>
      <c r="O23" t="s">
        <v>487</v>
      </c>
      <c r="P23" s="82">
        <v>9</v>
      </c>
      <c r="Q23" s="82">
        <v>0</v>
      </c>
    </row>
    <row r="24" spans="1:17" x14ac:dyDescent="0.35">
      <c r="A24">
        <v>22</v>
      </c>
      <c r="B24" s="43" t="s">
        <v>517</v>
      </c>
      <c r="C24" s="43" t="s">
        <v>501</v>
      </c>
      <c r="D24" s="82">
        <v>6</v>
      </c>
      <c r="E24">
        <v>0</v>
      </c>
      <c r="G24">
        <v>22</v>
      </c>
      <c r="H24" t="s">
        <v>504</v>
      </c>
      <c r="I24" t="s">
        <v>505</v>
      </c>
      <c r="J24">
        <v>4</v>
      </c>
      <c r="K24">
        <v>0</v>
      </c>
      <c r="M24" s="82">
        <v>22</v>
      </c>
      <c r="N24" s="43" t="s">
        <v>518</v>
      </c>
      <c r="O24" t="s">
        <v>519</v>
      </c>
      <c r="P24" s="82">
        <v>10</v>
      </c>
      <c r="Q24" s="82">
        <v>5</v>
      </c>
    </row>
    <row r="25" spans="1:17" x14ac:dyDescent="0.35">
      <c r="A25">
        <v>23</v>
      </c>
      <c r="B25" s="43" t="s">
        <v>34</v>
      </c>
      <c r="C25" s="43" t="s">
        <v>498</v>
      </c>
      <c r="D25" s="82">
        <v>4</v>
      </c>
      <c r="E25">
        <v>0</v>
      </c>
      <c r="G25">
        <v>23</v>
      </c>
      <c r="H25" t="s">
        <v>507</v>
      </c>
      <c r="I25" t="s">
        <v>520</v>
      </c>
      <c r="J25">
        <v>10</v>
      </c>
      <c r="K25">
        <v>7.5</v>
      </c>
      <c r="M25" s="82">
        <v>23</v>
      </c>
      <c r="N25" s="43" t="s">
        <v>513</v>
      </c>
      <c r="O25" t="s">
        <v>487</v>
      </c>
      <c r="P25" s="82">
        <v>1</v>
      </c>
      <c r="Q25" s="82">
        <v>0</v>
      </c>
    </row>
    <row r="26" spans="1:17" x14ac:dyDescent="0.35">
      <c r="A26">
        <v>24</v>
      </c>
      <c r="B26" s="43" t="s">
        <v>521</v>
      </c>
      <c r="C26" s="43" t="s">
        <v>502</v>
      </c>
      <c r="D26" s="82">
        <v>2</v>
      </c>
      <c r="E26">
        <v>0</v>
      </c>
      <c r="G26">
        <v>24</v>
      </c>
      <c r="H26" t="s">
        <v>511</v>
      </c>
      <c r="I26" t="s">
        <v>501</v>
      </c>
      <c r="J26">
        <v>8</v>
      </c>
      <c r="K26">
        <v>0</v>
      </c>
      <c r="M26" s="82">
        <v>24</v>
      </c>
      <c r="N26" s="43" t="s">
        <v>514</v>
      </c>
      <c r="O26" t="s">
        <v>487</v>
      </c>
      <c r="P26" s="82">
        <v>6</v>
      </c>
      <c r="Q26" s="82">
        <v>0</v>
      </c>
    </row>
    <row r="27" spans="1:17" x14ac:dyDescent="0.35">
      <c r="A27">
        <v>25</v>
      </c>
      <c r="B27" s="43" t="s">
        <v>522</v>
      </c>
      <c r="C27" s="43" t="s">
        <v>502</v>
      </c>
      <c r="D27" s="82">
        <v>2</v>
      </c>
      <c r="E27">
        <v>0</v>
      </c>
      <c r="G27">
        <v>25</v>
      </c>
      <c r="H27" t="s">
        <v>512</v>
      </c>
      <c r="I27" t="s">
        <v>501</v>
      </c>
      <c r="J27">
        <v>12</v>
      </c>
      <c r="K27">
        <v>6</v>
      </c>
      <c r="M27" s="82">
        <v>25</v>
      </c>
      <c r="N27" s="43" t="s">
        <v>523</v>
      </c>
      <c r="O27" t="s">
        <v>487</v>
      </c>
      <c r="P27" s="82">
        <v>5</v>
      </c>
      <c r="Q27" s="82">
        <v>0</v>
      </c>
    </row>
    <row r="28" spans="1:17" x14ac:dyDescent="0.35">
      <c r="G28">
        <v>26</v>
      </c>
      <c r="H28" t="s">
        <v>513</v>
      </c>
      <c r="I28" t="s">
        <v>501</v>
      </c>
      <c r="J28">
        <v>9</v>
      </c>
      <c r="K28">
        <v>0</v>
      </c>
      <c r="M28" s="82">
        <v>26</v>
      </c>
      <c r="N28" s="43" t="s">
        <v>515</v>
      </c>
      <c r="O28" t="s">
        <v>485</v>
      </c>
      <c r="P28" s="82">
        <v>9</v>
      </c>
      <c r="Q28" s="82">
        <v>9</v>
      </c>
    </row>
    <row r="29" spans="1:17" x14ac:dyDescent="0.35">
      <c r="G29">
        <v>27</v>
      </c>
      <c r="H29" t="s">
        <v>514</v>
      </c>
      <c r="I29" t="s">
        <v>498</v>
      </c>
      <c r="J29">
        <v>3</v>
      </c>
      <c r="K29">
        <v>0</v>
      </c>
      <c r="M29" s="82">
        <v>27</v>
      </c>
      <c r="N29" s="43" t="s">
        <v>34</v>
      </c>
      <c r="O29" t="s">
        <v>524</v>
      </c>
      <c r="P29" s="82">
        <v>26</v>
      </c>
      <c r="Q29" s="82">
        <v>23</v>
      </c>
    </row>
    <row r="30" spans="1:17" x14ac:dyDescent="0.35">
      <c r="G30">
        <v>28</v>
      </c>
      <c r="H30" t="s">
        <v>515</v>
      </c>
      <c r="I30" t="s">
        <v>516</v>
      </c>
      <c r="J30">
        <v>4</v>
      </c>
      <c r="K30">
        <v>4</v>
      </c>
    </row>
    <row r="31" spans="1:17" x14ac:dyDescent="0.35">
      <c r="G31">
        <v>29</v>
      </c>
      <c r="H31" t="s">
        <v>517</v>
      </c>
      <c r="I31" t="s">
        <v>501</v>
      </c>
      <c r="J31">
        <v>6</v>
      </c>
      <c r="K31">
        <v>0</v>
      </c>
    </row>
    <row r="32" spans="1:17" x14ac:dyDescent="0.35">
      <c r="G32">
        <v>30</v>
      </c>
      <c r="H32" t="s">
        <v>34</v>
      </c>
      <c r="I32" t="s">
        <v>498</v>
      </c>
      <c r="J32">
        <v>4</v>
      </c>
      <c r="K32">
        <v>0</v>
      </c>
    </row>
    <row r="33" spans="7:11" x14ac:dyDescent="0.35">
      <c r="G33">
        <v>31</v>
      </c>
      <c r="H33" t="s">
        <v>521</v>
      </c>
      <c r="I33" t="s">
        <v>502</v>
      </c>
      <c r="J33">
        <v>2</v>
      </c>
      <c r="K33">
        <v>0</v>
      </c>
    </row>
    <row r="34" spans="7:11" x14ac:dyDescent="0.35">
      <c r="G34">
        <v>32</v>
      </c>
      <c r="H34" t="s">
        <v>522</v>
      </c>
      <c r="I34" t="s">
        <v>502</v>
      </c>
      <c r="J34">
        <v>2</v>
      </c>
      <c r="K34">
        <v>0</v>
      </c>
    </row>
  </sheetData>
  <mergeCells count="3">
    <mergeCell ref="D1:E1"/>
    <mergeCell ref="J1:K1"/>
    <mergeCell ref="P1:Q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25E8-CBB3-488E-BECA-49ACFE3163C2}">
  <dimension ref="A1:U228"/>
  <sheetViews>
    <sheetView zoomScale="80" zoomScaleNormal="80" workbookViewId="0">
      <pane xSplit="2" ySplit="1" topLeftCell="D220" activePane="bottomRight" state="frozen"/>
      <selection pane="topRight" activeCell="C1" sqref="C1"/>
      <selection pane="bottomLeft" activeCell="A2" sqref="A2"/>
      <selection pane="bottomRight" activeCell="H248" sqref="H248"/>
    </sheetView>
  </sheetViews>
  <sheetFormatPr defaultRowHeight="14.5" x14ac:dyDescent="0.35"/>
  <cols>
    <col min="2" max="2" width="8.7265625" bestFit="1" customWidth="1"/>
    <col min="3" max="4" width="12.26953125" customWidth="1"/>
    <col min="5" max="5" width="22.7265625" bestFit="1" customWidth="1"/>
    <col min="6" max="6" width="18" bestFit="1" customWidth="1"/>
    <col min="7" max="7" width="23.26953125" bestFit="1" customWidth="1"/>
    <col min="8" max="8" width="17.81640625" customWidth="1"/>
    <col min="9" max="9" width="12.1796875" customWidth="1"/>
    <col min="10" max="10" width="13.26953125" customWidth="1"/>
    <col min="11" max="11" width="16.453125" customWidth="1"/>
  </cols>
  <sheetData>
    <row r="1" spans="1:11" ht="29" x14ac:dyDescent="0.35">
      <c r="A1" s="42" t="s">
        <v>460</v>
      </c>
      <c r="B1" s="42" t="s">
        <v>422</v>
      </c>
      <c r="C1" s="42" t="s">
        <v>2</v>
      </c>
      <c r="D1" s="42" t="s">
        <v>525</v>
      </c>
      <c r="E1" s="42" t="s">
        <v>423</v>
      </c>
      <c r="F1" s="42" t="s">
        <v>526</v>
      </c>
      <c r="G1" s="42" t="s">
        <v>527</v>
      </c>
      <c r="H1" s="42" t="s">
        <v>528</v>
      </c>
      <c r="I1" s="42" t="s">
        <v>426</v>
      </c>
      <c r="J1" s="42" t="s">
        <v>529</v>
      </c>
      <c r="K1" s="42" t="s">
        <v>427</v>
      </c>
    </row>
    <row r="2" spans="1:11" x14ac:dyDescent="0.35">
      <c r="A2" s="43">
        <v>1</v>
      </c>
      <c r="B2" s="43">
        <v>17183</v>
      </c>
      <c r="C2" s="43" t="s">
        <v>45</v>
      </c>
      <c r="D2" s="43"/>
      <c r="E2" s="43" t="s">
        <v>530</v>
      </c>
      <c r="F2" s="43"/>
      <c r="G2" s="43" t="s">
        <v>531</v>
      </c>
      <c r="H2" s="44">
        <v>46201</v>
      </c>
      <c r="I2" s="44">
        <v>46203</v>
      </c>
      <c r="J2" s="44">
        <v>46204</v>
      </c>
      <c r="K2" s="43" t="s">
        <v>391</v>
      </c>
    </row>
    <row r="3" spans="1:11" x14ac:dyDescent="0.35">
      <c r="A3" s="43">
        <v>2</v>
      </c>
      <c r="B3" s="43">
        <v>17182</v>
      </c>
      <c r="C3" s="43" t="s">
        <v>324</v>
      </c>
      <c r="D3" s="43"/>
      <c r="E3" s="43" t="s">
        <v>530</v>
      </c>
      <c r="F3" s="43"/>
      <c r="G3" s="43" t="s">
        <v>532</v>
      </c>
      <c r="H3" s="44">
        <v>46200</v>
      </c>
      <c r="I3" s="44">
        <v>46203</v>
      </c>
      <c r="J3" s="44">
        <v>46204</v>
      </c>
      <c r="K3" s="43" t="s">
        <v>391</v>
      </c>
    </row>
    <row r="4" spans="1:11" x14ac:dyDescent="0.35">
      <c r="A4" s="43">
        <v>3</v>
      </c>
      <c r="B4" s="43">
        <v>17187</v>
      </c>
      <c r="C4" s="43" t="s">
        <v>21</v>
      </c>
      <c r="D4" s="43"/>
      <c r="E4" s="43" t="s">
        <v>530</v>
      </c>
      <c r="F4" s="43"/>
      <c r="G4" s="43" t="s">
        <v>533</v>
      </c>
      <c r="H4" s="44">
        <v>46200</v>
      </c>
      <c r="I4" s="44">
        <v>46203</v>
      </c>
      <c r="J4" s="44">
        <v>46204</v>
      </c>
      <c r="K4" s="43" t="s">
        <v>391</v>
      </c>
    </row>
    <row r="5" spans="1:11" x14ac:dyDescent="0.35">
      <c r="A5" s="43">
        <v>4</v>
      </c>
      <c r="B5" s="43">
        <v>17218</v>
      </c>
      <c r="C5" s="43" t="s">
        <v>23</v>
      </c>
      <c r="D5" s="43"/>
      <c r="E5" s="43" t="s">
        <v>530</v>
      </c>
      <c r="F5" s="43"/>
      <c r="G5" s="43" t="s">
        <v>534</v>
      </c>
      <c r="H5" s="44">
        <v>46202</v>
      </c>
      <c r="I5" s="44">
        <v>46203</v>
      </c>
      <c r="J5" s="44">
        <v>46203</v>
      </c>
      <c r="K5" s="43" t="s">
        <v>391</v>
      </c>
    </row>
    <row r="6" spans="1:11" x14ac:dyDescent="0.35">
      <c r="A6" s="43">
        <v>5</v>
      </c>
      <c r="B6" s="43">
        <v>17204</v>
      </c>
      <c r="C6" s="43" t="s">
        <v>21</v>
      </c>
      <c r="D6" s="43"/>
      <c r="E6" s="43" t="s">
        <v>530</v>
      </c>
      <c r="F6" s="43"/>
      <c r="G6" s="43" t="s">
        <v>535</v>
      </c>
      <c r="H6" s="44">
        <v>46202</v>
      </c>
      <c r="I6" s="44">
        <v>46203</v>
      </c>
      <c r="J6" s="44">
        <v>46204</v>
      </c>
      <c r="K6" s="43" t="s">
        <v>391</v>
      </c>
    </row>
    <row r="7" spans="1:11" ht="29" x14ac:dyDescent="0.35">
      <c r="A7" s="43">
        <v>6</v>
      </c>
      <c r="B7" s="43">
        <v>17202</v>
      </c>
      <c r="C7" s="43" t="s">
        <v>21</v>
      </c>
      <c r="D7" s="43"/>
      <c r="E7" s="43" t="s">
        <v>530</v>
      </c>
      <c r="F7" s="43"/>
      <c r="G7" s="43" t="s">
        <v>535</v>
      </c>
      <c r="H7" s="44">
        <v>46201</v>
      </c>
      <c r="I7" s="44">
        <v>46203</v>
      </c>
      <c r="J7" s="44">
        <v>46204</v>
      </c>
      <c r="K7" s="43" t="s">
        <v>536</v>
      </c>
    </row>
    <row r="8" spans="1:11" x14ac:dyDescent="0.35">
      <c r="A8" s="43">
        <v>7</v>
      </c>
      <c r="B8" s="43">
        <v>17184</v>
      </c>
      <c r="C8" s="43" t="s">
        <v>23</v>
      </c>
      <c r="D8" s="43"/>
      <c r="E8" s="43" t="s">
        <v>530</v>
      </c>
      <c r="F8" s="43"/>
      <c r="G8" s="43" t="s">
        <v>534</v>
      </c>
      <c r="H8" s="44">
        <v>46201</v>
      </c>
      <c r="I8" s="44">
        <v>46203</v>
      </c>
      <c r="J8" s="43" t="s">
        <v>530</v>
      </c>
      <c r="K8" s="43" t="s">
        <v>530</v>
      </c>
    </row>
    <row r="9" spans="1:11" x14ac:dyDescent="0.35">
      <c r="A9" s="43">
        <v>8</v>
      </c>
      <c r="B9" s="43">
        <v>17189</v>
      </c>
      <c r="C9" s="43" t="s">
        <v>34</v>
      </c>
      <c r="D9" s="43"/>
      <c r="E9" s="43" t="s">
        <v>530</v>
      </c>
      <c r="F9" s="43"/>
      <c r="G9" s="43" t="s">
        <v>537</v>
      </c>
      <c r="H9" s="44">
        <v>46202</v>
      </c>
      <c r="I9" s="44">
        <v>46203</v>
      </c>
      <c r="J9" s="43" t="s">
        <v>530</v>
      </c>
      <c r="K9" s="43" t="s">
        <v>530</v>
      </c>
    </row>
    <row r="10" spans="1:11" x14ac:dyDescent="0.35">
      <c r="A10" s="43">
        <v>9</v>
      </c>
      <c r="B10" s="43">
        <v>17181</v>
      </c>
      <c r="C10" s="43" t="s">
        <v>292</v>
      </c>
      <c r="D10" s="43"/>
      <c r="E10" s="43" t="s">
        <v>530</v>
      </c>
      <c r="F10" s="43"/>
      <c r="G10" s="43" t="s">
        <v>534</v>
      </c>
      <c r="H10" s="44">
        <v>46202</v>
      </c>
      <c r="I10" s="44">
        <v>46203</v>
      </c>
      <c r="J10" s="44">
        <v>46204</v>
      </c>
      <c r="K10" s="43" t="s">
        <v>391</v>
      </c>
    </row>
    <row r="11" spans="1:11" x14ac:dyDescent="0.35">
      <c r="A11" s="43">
        <v>10</v>
      </c>
      <c r="B11" s="43">
        <v>17199</v>
      </c>
      <c r="C11" s="43" t="s">
        <v>54</v>
      </c>
      <c r="D11" s="43"/>
      <c r="E11" s="43" t="s">
        <v>530</v>
      </c>
      <c r="F11" s="43"/>
      <c r="G11" s="43" t="s">
        <v>534</v>
      </c>
      <c r="H11" s="44">
        <v>46201</v>
      </c>
      <c r="I11" s="44">
        <v>46203</v>
      </c>
      <c r="J11" s="43" t="s">
        <v>530</v>
      </c>
      <c r="K11" s="43" t="s">
        <v>538</v>
      </c>
    </row>
    <row r="12" spans="1:11" x14ac:dyDescent="0.35">
      <c r="A12" s="43">
        <v>11</v>
      </c>
      <c r="B12" s="43">
        <v>17173</v>
      </c>
      <c r="C12" s="43" t="s">
        <v>295</v>
      </c>
      <c r="D12" s="43"/>
      <c r="E12" s="43" t="s">
        <v>539</v>
      </c>
      <c r="F12" s="43" t="s">
        <v>540</v>
      </c>
      <c r="G12" s="43" t="s">
        <v>534</v>
      </c>
      <c r="H12" s="44">
        <v>46204</v>
      </c>
      <c r="I12" s="44">
        <v>46204</v>
      </c>
      <c r="J12" s="44">
        <v>46204</v>
      </c>
      <c r="K12" s="43" t="s">
        <v>541</v>
      </c>
    </row>
    <row r="13" spans="1:11" x14ac:dyDescent="0.35">
      <c r="A13" s="43">
        <v>12</v>
      </c>
      <c r="B13" s="43">
        <v>17175</v>
      </c>
      <c r="C13" s="43" t="s">
        <v>292</v>
      </c>
      <c r="D13" s="43"/>
      <c r="E13" s="43" t="s">
        <v>539</v>
      </c>
      <c r="F13" s="43" t="s">
        <v>540</v>
      </c>
      <c r="G13" s="43" t="s">
        <v>534</v>
      </c>
      <c r="H13" s="44">
        <v>46204</v>
      </c>
      <c r="I13" s="44">
        <v>46204</v>
      </c>
      <c r="J13" s="44">
        <v>46204</v>
      </c>
      <c r="K13" s="43" t="s">
        <v>542</v>
      </c>
    </row>
    <row r="14" spans="1:11" x14ac:dyDescent="0.35">
      <c r="A14" s="43">
        <v>13</v>
      </c>
      <c r="B14" s="43">
        <v>17177</v>
      </c>
      <c r="C14" s="43" t="s">
        <v>73</v>
      </c>
      <c r="D14" s="43"/>
      <c r="E14" s="43" t="s">
        <v>543</v>
      </c>
      <c r="F14" s="43" t="s">
        <v>540</v>
      </c>
      <c r="G14" s="43" t="s">
        <v>534</v>
      </c>
      <c r="H14" s="44">
        <v>46204</v>
      </c>
      <c r="I14" s="44">
        <v>46204</v>
      </c>
      <c r="J14" s="44">
        <v>46204</v>
      </c>
      <c r="K14" s="43" t="s">
        <v>544</v>
      </c>
    </row>
    <row r="15" spans="1:11" x14ac:dyDescent="0.35">
      <c r="A15" s="43">
        <v>14</v>
      </c>
      <c r="B15" s="43">
        <v>17170</v>
      </c>
      <c r="C15" s="43" t="s">
        <v>45</v>
      </c>
      <c r="D15" s="43"/>
      <c r="E15" s="43" t="s">
        <v>530</v>
      </c>
      <c r="F15" s="43" t="s">
        <v>540</v>
      </c>
      <c r="G15" s="43" t="s">
        <v>534</v>
      </c>
      <c r="H15" s="44">
        <v>46204</v>
      </c>
      <c r="I15" s="44">
        <v>46204</v>
      </c>
      <c r="J15" s="44">
        <v>46204</v>
      </c>
      <c r="K15" s="43" t="s">
        <v>530</v>
      </c>
    </row>
    <row r="16" spans="1:11" x14ac:dyDescent="0.35">
      <c r="A16" s="43">
        <v>15</v>
      </c>
      <c r="B16" s="43">
        <v>17172</v>
      </c>
      <c r="C16" s="43" t="s">
        <v>73</v>
      </c>
      <c r="D16" s="43"/>
      <c r="E16" s="43" t="s">
        <v>543</v>
      </c>
      <c r="F16" s="43" t="s">
        <v>540</v>
      </c>
      <c r="G16" s="43" t="s">
        <v>534</v>
      </c>
      <c r="H16" s="44">
        <v>46204</v>
      </c>
      <c r="I16" s="44">
        <v>46204</v>
      </c>
      <c r="J16" s="44">
        <v>46204</v>
      </c>
      <c r="K16" s="43" t="s">
        <v>545</v>
      </c>
    </row>
    <row r="17" spans="1:11" x14ac:dyDescent="0.35">
      <c r="A17" s="43">
        <v>18</v>
      </c>
      <c r="B17" s="43">
        <v>17220</v>
      </c>
      <c r="C17" s="43" t="s">
        <v>21</v>
      </c>
      <c r="D17" s="43"/>
      <c r="E17" s="43" t="s">
        <v>530</v>
      </c>
      <c r="F17" s="43"/>
      <c r="G17" s="43" t="s">
        <v>546</v>
      </c>
      <c r="H17" s="43" t="s">
        <v>530</v>
      </c>
      <c r="I17" s="43" t="s">
        <v>530</v>
      </c>
      <c r="J17" s="44">
        <v>46241</v>
      </c>
      <c r="K17" s="43" t="s">
        <v>547</v>
      </c>
    </row>
    <row r="18" spans="1:11" x14ac:dyDescent="0.35">
      <c r="A18" s="43">
        <v>19</v>
      </c>
      <c r="B18" s="43">
        <v>17173</v>
      </c>
      <c r="C18" s="43" t="s">
        <v>45</v>
      </c>
      <c r="D18" s="43"/>
      <c r="E18" s="44">
        <v>46210</v>
      </c>
      <c r="F18" s="44" t="s">
        <v>540</v>
      </c>
      <c r="G18" s="43" t="s">
        <v>534</v>
      </c>
      <c r="H18" s="44">
        <v>46210</v>
      </c>
      <c r="I18" s="44">
        <v>46210</v>
      </c>
      <c r="J18" s="43" t="s">
        <v>530</v>
      </c>
      <c r="K18" s="43" t="s">
        <v>548</v>
      </c>
    </row>
    <row r="19" spans="1:11" x14ac:dyDescent="0.35">
      <c r="A19">
        <v>20</v>
      </c>
      <c r="B19">
        <v>17174</v>
      </c>
      <c r="C19" t="s">
        <v>549</v>
      </c>
      <c r="E19" t="s">
        <v>550</v>
      </c>
      <c r="G19" t="s">
        <v>551</v>
      </c>
      <c r="H19" s="3">
        <v>46205</v>
      </c>
      <c r="I19" s="3">
        <v>46205</v>
      </c>
      <c r="J19" s="3">
        <v>46206</v>
      </c>
      <c r="K19" t="s">
        <v>552</v>
      </c>
    </row>
    <row r="20" spans="1:11" x14ac:dyDescent="0.35">
      <c r="A20">
        <v>21</v>
      </c>
      <c r="B20">
        <v>1011</v>
      </c>
      <c r="C20" t="s">
        <v>65</v>
      </c>
      <c r="E20" t="s">
        <v>553</v>
      </c>
      <c r="G20" t="s">
        <v>551</v>
      </c>
      <c r="I20" s="3">
        <v>46204</v>
      </c>
      <c r="J20" s="3">
        <v>46205</v>
      </c>
      <c r="K20" t="s">
        <v>391</v>
      </c>
    </row>
    <row r="21" spans="1:11" x14ac:dyDescent="0.35">
      <c r="A21">
        <v>23</v>
      </c>
      <c r="B21">
        <v>17223</v>
      </c>
      <c r="C21" t="s">
        <v>73</v>
      </c>
      <c r="E21" t="s">
        <v>530</v>
      </c>
      <c r="F21" t="s">
        <v>554</v>
      </c>
      <c r="G21" t="s">
        <v>555</v>
      </c>
      <c r="H21" s="3">
        <v>46205</v>
      </c>
      <c r="I21" s="3">
        <v>46204</v>
      </c>
      <c r="J21" s="3">
        <v>46205</v>
      </c>
      <c r="K21" t="s">
        <v>391</v>
      </c>
    </row>
    <row r="22" spans="1:11" x14ac:dyDescent="0.35">
      <c r="A22">
        <v>25</v>
      </c>
      <c r="B22">
        <v>17185</v>
      </c>
      <c r="C22" t="s">
        <v>53</v>
      </c>
      <c r="E22" t="s">
        <v>530</v>
      </c>
      <c r="F22" t="s">
        <v>540</v>
      </c>
      <c r="G22" t="s">
        <v>556</v>
      </c>
      <c r="H22" s="3">
        <v>46204</v>
      </c>
      <c r="I22" s="3">
        <v>46203</v>
      </c>
      <c r="J22" s="3">
        <v>46205</v>
      </c>
      <c r="K22" t="s">
        <v>391</v>
      </c>
    </row>
    <row r="23" spans="1:11" x14ac:dyDescent="0.35">
      <c r="A23">
        <v>27</v>
      </c>
      <c r="B23">
        <v>17013</v>
      </c>
      <c r="C23" t="s">
        <v>23</v>
      </c>
      <c r="E23" t="s">
        <v>530</v>
      </c>
      <c r="G23" t="s">
        <v>537</v>
      </c>
      <c r="H23" s="3">
        <v>46202</v>
      </c>
      <c r="I23" s="3">
        <v>46202</v>
      </c>
      <c r="J23" s="3">
        <v>46205</v>
      </c>
      <c r="K23" t="s">
        <v>391</v>
      </c>
    </row>
    <row r="24" spans="1:11" x14ac:dyDescent="0.35">
      <c r="A24">
        <v>28</v>
      </c>
      <c r="B24">
        <v>17016</v>
      </c>
      <c r="C24" t="s">
        <v>23</v>
      </c>
      <c r="E24" t="s">
        <v>530</v>
      </c>
      <c r="G24" t="s">
        <v>534</v>
      </c>
      <c r="H24" s="3">
        <v>46202</v>
      </c>
      <c r="I24" s="3">
        <v>46202</v>
      </c>
      <c r="J24" s="3">
        <v>46203</v>
      </c>
      <c r="K24" t="s">
        <v>391</v>
      </c>
    </row>
    <row r="25" spans="1:11" x14ac:dyDescent="0.35">
      <c r="A25">
        <v>29</v>
      </c>
      <c r="B25">
        <v>17005</v>
      </c>
      <c r="C25" t="s">
        <v>37</v>
      </c>
      <c r="E25" t="s">
        <v>530</v>
      </c>
      <c r="G25" t="s">
        <v>534</v>
      </c>
      <c r="H25" s="3">
        <v>46201</v>
      </c>
      <c r="I25" s="3">
        <v>46202</v>
      </c>
      <c r="J25" s="3">
        <v>46203</v>
      </c>
      <c r="K25" t="s">
        <v>391</v>
      </c>
    </row>
    <row r="26" spans="1:11" x14ac:dyDescent="0.35">
      <c r="A26">
        <v>30</v>
      </c>
      <c r="B26">
        <v>17176</v>
      </c>
      <c r="C26" t="s">
        <v>37</v>
      </c>
      <c r="E26" t="s">
        <v>530</v>
      </c>
      <c r="G26" t="s">
        <v>534</v>
      </c>
      <c r="H26" s="3">
        <v>46205</v>
      </c>
      <c r="I26" s="3">
        <v>46205</v>
      </c>
      <c r="J26" t="s">
        <v>530</v>
      </c>
      <c r="K26" t="s">
        <v>530</v>
      </c>
    </row>
    <row r="27" spans="1:11" x14ac:dyDescent="0.35">
      <c r="A27">
        <v>31</v>
      </c>
      <c r="B27">
        <v>17186</v>
      </c>
      <c r="C27" t="s">
        <v>73</v>
      </c>
      <c r="E27" t="s">
        <v>543</v>
      </c>
      <c r="G27" t="s">
        <v>534</v>
      </c>
      <c r="H27" s="3">
        <v>46206</v>
      </c>
      <c r="I27" s="3">
        <v>46206</v>
      </c>
      <c r="J27" t="s">
        <v>530</v>
      </c>
      <c r="K27" t="s">
        <v>530</v>
      </c>
    </row>
    <row r="28" spans="1:11" x14ac:dyDescent="0.35">
      <c r="A28">
        <v>32</v>
      </c>
      <c r="B28">
        <v>17188</v>
      </c>
      <c r="C28" t="s">
        <v>53</v>
      </c>
      <c r="E28" t="s">
        <v>530</v>
      </c>
      <c r="G28" t="s">
        <v>534</v>
      </c>
      <c r="H28" t="s">
        <v>530</v>
      </c>
      <c r="I28" s="3">
        <v>46206</v>
      </c>
      <c r="J28" s="3">
        <v>46209</v>
      </c>
      <c r="K28" t="s">
        <v>391</v>
      </c>
    </row>
    <row r="29" spans="1:11" x14ac:dyDescent="0.35">
      <c r="A29">
        <v>33</v>
      </c>
      <c r="B29">
        <v>17190</v>
      </c>
      <c r="C29" t="s">
        <v>23</v>
      </c>
      <c r="E29" t="s">
        <v>530</v>
      </c>
      <c r="G29" s="43" t="s">
        <v>534</v>
      </c>
      <c r="H29" s="3">
        <v>46205</v>
      </c>
      <c r="I29" s="3">
        <v>46206</v>
      </c>
      <c r="J29" s="3">
        <v>46206</v>
      </c>
      <c r="K29" t="s">
        <v>391</v>
      </c>
    </row>
    <row r="30" spans="1:11" x14ac:dyDescent="0.35">
      <c r="A30">
        <v>34</v>
      </c>
      <c r="B30">
        <v>17194</v>
      </c>
      <c r="C30" t="s">
        <v>53</v>
      </c>
      <c r="E30" t="s">
        <v>530</v>
      </c>
      <c r="G30" s="43" t="s">
        <v>534</v>
      </c>
      <c r="H30" s="3">
        <v>46205</v>
      </c>
      <c r="I30" s="3">
        <v>46206</v>
      </c>
      <c r="J30" s="3">
        <v>46207</v>
      </c>
      <c r="K30" t="s">
        <v>391</v>
      </c>
    </row>
    <row r="31" spans="1:11" x14ac:dyDescent="0.35">
      <c r="A31">
        <v>35</v>
      </c>
      <c r="B31">
        <v>17192</v>
      </c>
      <c r="C31" t="s">
        <v>37</v>
      </c>
      <c r="E31" t="s">
        <v>530</v>
      </c>
      <c r="G31" s="43" t="s">
        <v>534</v>
      </c>
      <c r="H31" s="3">
        <v>46205</v>
      </c>
      <c r="I31" s="3">
        <v>46206</v>
      </c>
      <c r="J31" s="3">
        <v>46206</v>
      </c>
      <c r="K31" t="s">
        <v>391</v>
      </c>
    </row>
    <row r="32" spans="1:11" x14ac:dyDescent="0.35">
      <c r="A32">
        <v>36</v>
      </c>
      <c r="B32" t="s">
        <v>557</v>
      </c>
      <c r="C32" t="s">
        <v>393</v>
      </c>
      <c r="E32" t="s">
        <v>530</v>
      </c>
      <c r="F32" t="s">
        <v>554</v>
      </c>
      <c r="G32" t="s">
        <v>534</v>
      </c>
      <c r="H32" t="s">
        <v>530</v>
      </c>
      <c r="I32" s="3">
        <v>46204</v>
      </c>
      <c r="J32" s="3">
        <v>46205</v>
      </c>
      <c r="K32" t="s">
        <v>558</v>
      </c>
    </row>
    <row r="33" spans="1:11" x14ac:dyDescent="0.35">
      <c r="A33">
        <v>37</v>
      </c>
      <c r="B33">
        <v>1</v>
      </c>
      <c r="C33" t="s">
        <v>75</v>
      </c>
      <c r="E33" t="s">
        <v>530</v>
      </c>
      <c r="F33" t="s">
        <v>554</v>
      </c>
      <c r="G33" t="s">
        <v>537</v>
      </c>
      <c r="H33" s="3">
        <v>46206</v>
      </c>
      <c r="I33" s="3">
        <v>46206</v>
      </c>
      <c r="J33" s="3">
        <v>46209</v>
      </c>
      <c r="K33" t="s">
        <v>391</v>
      </c>
    </row>
    <row r="34" spans="1:11" x14ac:dyDescent="0.35">
      <c r="A34">
        <v>38</v>
      </c>
      <c r="B34">
        <v>2</v>
      </c>
      <c r="C34" t="s">
        <v>45</v>
      </c>
      <c r="E34" t="s">
        <v>530</v>
      </c>
      <c r="F34" t="s">
        <v>554</v>
      </c>
      <c r="G34" t="s">
        <v>534</v>
      </c>
      <c r="H34" s="3">
        <v>46205</v>
      </c>
      <c r="I34" s="3">
        <v>46206</v>
      </c>
      <c r="J34" t="s">
        <v>530</v>
      </c>
      <c r="K34" t="s">
        <v>530</v>
      </c>
    </row>
    <row r="35" spans="1:11" x14ac:dyDescent="0.35">
      <c r="A35">
        <v>39</v>
      </c>
      <c r="B35">
        <v>3</v>
      </c>
      <c r="C35" t="s">
        <v>53</v>
      </c>
      <c r="E35" t="s">
        <v>530</v>
      </c>
      <c r="F35" t="s">
        <v>554</v>
      </c>
      <c r="G35" t="s">
        <v>534</v>
      </c>
      <c r="H35" s="3">
        <v>46206</v>
      </c>
      <c r="I35" s="3">
        <v>46206</v>
      </c>
      <c r="J35" t="s">
        <v>530</v>
      </c>
      <c r="K35" t="s">
        <v>530</v>
      </c>
    </row>
    <row r="36" spans="1:11" x14ac:dyDescent="0.35">
      <c r="A36">
        <v>40</v>
      </c>
      <c r="B36">
        <v>4</v>
      </c>
      <c r="C36" t="s">
        <v>73</v>
      </c>
      <c r="E36" t="s">
        <v>530</v>
      </c>
      <c r="F36" t="s">
        <v>554</v>
      </c>
      <c r="G36" t="s">
        <v>559</v>
      </c>
      <c r="H36" s="3">
        <v>46206</v>
      </c>
      <c r="I36" s="3">
        <v>46206</v>
      </c>
      <c r="J36" s="3">
        <v>46209</v>
      </c>
      <c r="K36" t="s">
        <v>391</v>
      </c>
    </row>
    <row r="37" spans="1:11" x14ac:dyDescent="0.35">
      <c r="A37">
        <v>41</v>
      </c>
      <c r="B37">
        <v>5</v>
      </c>
      <c r="C37" t="s">
        <v>23</v>
      </c>
      <c r="E37" t="s">
        <v>530</v>
      </c>
      <c r="F37" t="s">
        <v>540</v>
      </c>
      <c r="G37" t="s">
        <v>556</v>
      </c>
      <c r="H37" s="3">
        <v>46205</v>
      </c>
      <c r="I37" s="3">
        <v>46205</v>
      </c>
      <c r="J37" t="s">
        <v>530</v>
      </c>
    </row>
    <row r="38" spans="1:11" x14ac:dyDescent="0.35">
      <c r="A38">
        <v>42</v>
      </c>
      <c r="B38">
        <v>17235</v>
      </c>
      <c r="C38" t="s">
        <v>30</v>
      </c>
      <c r="E38" t="s">
        <v>530</v>
      </c>
      <c r="F38" t="s">
        <v>540</v>
      </c>
      <c r="G38" t="s">
        <v>556</v>
      </c>
      <c r="H38" s="3">
        <v>46205</v>
      </c>
      <c r="I38" s="3">
        <v>46205</v>
      </c>
      <c r="J38" s="3">
        <v>46209</v>
      </c>
      <c r="K38" t="s">
        <v>391</v>
      </c>
    </row>
    <row r="39" spans="1:11" x14ac:dyDescent="0.35">
      <c r="A39">
        <v>43</v>
      </c>
      <c r="B39">
        <v>17259</v>
      </c>
      <c r="C39" t="s">
        <v>23</v>
      </c>
      <c r="E39" t="s">
        <v>530</v>
      </c>
      <c r="F39" t="s">
        <v>554</v>
      </c>
      <c r="G39" t="s">
        <v>560</v>
      </c>
      <c r="H39" s="3">
        <v>46206</v>
      </c>
      <c r="I39" s="3">
        <v>46206</v>
      </c>
      <c r="J39" s="3">
        <v>46209</v>
      </c>
      <c r="K39" t="s">
        <v>391</v>
      </c>
    </row>
    <row r="40" spans="1:11" x14ac:dyDescent="0.35">
      <c r="A40">
        <v>44</v>
      </c>
      <c r="B40">
        <v>6</v>
      </c>
      <c r="C40" t="s">
        <v>54</v>
      </c>
      <c r="E40" t="s">
        <v>530</v>
      </c>
      <c r="F40" t="s">
        <v>554</v>
      </c>
      <c r="G40" t="s">
        <v>560</v>
      </c>
      <c r="H40" s="3">
        <v>46206</v>
      </c>
      <c r="I40" s="3">
        <v>46206</v>
      </c>
      <c r="J40" s="3">
        <v>46209</v>
      </c>
      <c r="K40" t="s">
        <v>391</v>
      </c>
    </row>
    <row r="41" spans="1:11" x14ac:dyDescent="0.35">
      <c r="A41">
        <v>45</v>
      </c>
      <c r="B41">
        <v>7</v>
      </c>
      <c r="C41" t="s">
        <v>73</v>
      </c>
      <c r="E41" t="s">
        <v>530</v>
      </c>
      <c r="F41" t="s">
        <v>540</v>
      </c>
      <c r="G41" t="s">
        <v>534</v>
      </c>
      <c r="H41" s="3">
        <v>46206</v>
      </c>
      <c r="I41" s="3">
        <v>46206</v>
      </c>
      <c r="J41" t="s">
        <v>561</v>
      </c>
      <c r="K41" t="s">
        <v>562</v>
      </c>
    </row>
    <row r="42" spans="1:11" x14ac:dyDescent="0.35">
      <c r="A42">
        <v>46</v>
      </c>
      <c r="B42">
        <v>8</v>
      </c>
      <c r="C42" t="s">
        <v>75</v>
      </c>
      <c r="E42" t="s">
        <v>530</v>
      </c>
      <c r="F42" t="s">
        <v>540</v>
      </c>
      <c r="G42" t="s">
        <v>556</v>
      </c>
      <c r="H42" s="3">
        <v>46206</v>
      </c>
      <c r="I42" s="3">
        <v>46206</v>
      </c>
      <c r="J42" s="3">
        <v>46209</v>
      </c>
      <c r="K42" t="s">
        <v>391</v>
      </c>
    </row>
    <row r="43" spans="1:11" x14ac:dyDescent="0.35">
      <c r="A43">
        <v>47</v>
      </c>
      <c r="B43">
        <v>9</v>
      </c>
      <c r="C43" t="s">
        <v>292</v>
      </c>
      <c r="E43" t="s">
        <v>530</v>
      </c>
      <c r="F43" t="s">
        <v>540</v>
      </c>
      <c r="G43" t="s">
        <v>556</v>
      </c>
      <c r="H43" s="3">
        <v>46206</v>
      </c>
      <c r="I43" s="3">
        <v>46206</v>
      </c>
      <c r="J43" t="s">
        <v>530</v>
      </c>
      <c r="K43" t="s">
        <v>530</v>
      </c>
    </row>
    <row r="44" spans="1:11" x14ac:dyDescent="0.35">
      <c r="A44">
        <v>48</v>
      </c>
      <c r="B44">
        <v>10</v>
      </c>
      <c r="C44" t="s">
        <v>393</v>
      </c>
      <c r="E44" t="s">
        <v>530</v>
      </c>
      <c r="F44" t="s">
        <v>554</v>
      </c>
      <c r="G44" t="s">
        <v>491</v>
      </c>
      <c r="H44" s="3">
        <v>46206</v>
      </c>
      <c r="I44" s="3">
        <v>46206</v>
      </c>
      <c r="J44" t="s">
        <v>530</v>
      </c>
      <c r="K44" t="s">
        <v>530</v>
      </c>
    </row>
    <row r="45" spans="1:11" x14ac:dyDescent="0.35">
      <c r="A45">
        <v>49</v>
      </c>
      <c r="B45">
        <v>11</v>
      </c>
      <c r="C45" t="s">
        <v>53</v>
      </c>
      <c r="E45" t="s">
        <v>530</v>
      </c>
      <c r="F45" t="s">
        <v>554</v>
      </c>
      <c r="G45" t="s">
        <v>534</v>
      </c>
      <c r="H45" s="3">
        <v>46206</v>
      </c>
      <c r="I45" s="3">
        <v>46206</v>
      </c>
      <c r="J45" t="s">
        <v>530</v>
      </c>
      <c r="K45" t="s">
        <v>530</v>
      </c>
    </row>
    <row r="46" spans="1:11" x14ac:dyDescent="0.35">
      <c r="A46">
        <v>50</v>
      </c>
      <c r="B46">
        <v>12</v>
      </c>
      <c r="C46" t="s">
        <v>37</v>
      </c>
      <c r="E46" t="s">
        <v>530</v>
      </c>
      <c r="F46" t="s">
        <v>554</v>
      </c>
      <c r="G46" t="s">
        <v>560</v>
      </c>
      <c r="H46" s="3">
        <v>46207</v>
      </c>
      <c r="I46" s="3">
        <v>46207</v>
      </c>
      <c r="J46" t="s">
        <v>530</v>
      </c>
    </row>
    <row r="47" spans="1:11" x14ac:dyDescent="0.35">
      <c r="A47">
        <v>51</v>
      </c>
      <c r="B47">
        <v>13</v>
      </c>
      <c r="C47" t="s">
        <v>31</v>
      </c>
      <c r="E47" t="s">
        <v>530</v>
      </c>
      <c r="F47" t="s">
        <v>540</v>
      </c>
      <c r="G47" t="s">
        <v>563</v>
      </c>
      <c r="H47" s="3">
        <v>46207</v>
      </c>
      <c r="I47" s="3">
        <v>46207</v>
      </c>
      <c r="J47" t="s">
        <v>530</v>
      </c>
    </row>
    <row r="48" spans="1:11" x14ac:dyDescent="0.35">
      <c r="A48">
        <v>52</v>
      </c>
      <c r="B48">
        <v>14</v>
      </c>
      <c r="C48" t="s">
        <v>73</v>
      </c>
      <c r="E48" t="s">
        <v>530</v>
      </c>
      <c r="F48" t="s">
        <v>554</v>
      </c>
      <c r="G48" t="s">
        <v>534</v>
      </c>
      <c r="H48" s="3">
        <v>46207</v>
      </c>
      <c r="I48" s="3">
        <v>46209</v>
      </c>
      <c r="J48" s="3">
        <v>46210</v>
      </c>
      <c r="K48" t="s">
        <v>391</v>
      </c>
    </row>
    <row r="49" spans="1:11" x14ac:dyDescent="0.35">
      <c r="A49">
        <v>53</v>
      </c>
      <c r="B49">
        <v>11</v>
      </c>
      <c r="C49" t="s">
        <v>37</v>
      </c>
      <c r="E49" t="s">
        <v>530</v>
      </c>
      <c r="F49" t="s">
        <v>554</v>
      </c>
      <c r="G49" t="s">
        <v>534</v>
      </c>
      <c r="H49" s="3">
        <v>46207</v>
      </c>
      <c r="I49" s="3">
        <v>46209</v>
      </c>
      <c r="J49" s="3">
        <v>46180</v>
      </c>
      <c r="K49" t="s">
        <v>391</v>
      </c>
    </row>
    <row r="50" spans="1:11" x14ac:dyDescent="0.35">
      <c r="A50">
        <v>54</v>
      </c>
      <c r="B50">
        <v>5</v>
      </c>
      <c r="C50" t="s">
        <v>23</v>
      </c>
      <c r="E50" t="s">
        <v>530</v>
      </c>
      <c r="F50" t="s">
        <v>554</v>
      </c>
      <c r="G50" t="s">
        <v>537</v>
      </c>
      <c r="H50" s="3">
        <v>46206</v>
      </c>
      <c r="I50" s="3">
        <v>46206</v>
      </c>
      <c r="J50" s="3">
        <v>46180</v>
      </c>
      <c r="K50" t="s">
        <v>391</v>
      </c>
    </row>
    <row r="51" spans="1:11" x14ac:dyDescent="0.35">
      <c r="A51">
        <v>55</v>
      </c>
      <c r="B51">
        <v>17</v>
      </c>
      <c r="C51" t="s">
        <v>75</v>
      </c>
      <c r="E51" t="s">
        <v>530</v>
      </c>
      <c r="F51" t="s">
        <v>554</v>
      </c>
      <c r="G51" t="s">
        <v>537</v>
      </c>
      <c r="H51" s="3">
        <v>46207</v>
      </c>
      <c r="I51" s="3">
        <v>46209</v>
      </c>
      <c r="J51" s="3">
        <v>46180</v>
      </c>
      <c r="K51" t="s">
        <v>391</v>
      </c>
    </row>
    <row r="52" spans="1:11" x14ac:dyDescent="0.35">
      <c r="A52">
        <v>56</v>
      </c>
      <c r="B52">
        <v>18</v>
      </c>
      <c r="C52" t="s">
        <v>37</v>
      </c>
      <c r="E52" t="s">
        <v>530</v>
      </c>
      <c r="F52" t="s">
        <v>540</v>
      </c>
      <c r="G52" t="s">
        <v>534</v>
      </c>
      <c r="H52" s="3">
        <v>46207</v>
      </c>
      <c r="I52" s="3">
        <v>46209</v>
      </c>
      <c r="J52" s="3">
        <v>46180</v>
      </c>
      <c r="K52" t="s">
        <v>391</v>
      </c>
    </row>
    <row r="53" spans="1:11" x14ac:dyDescent="0.35">
      <c r="A53">
        <v>57</v>
      </c>
      <c r="B53">
        <v>15</v>
      </c>
      <c r="C53" t="s">
        <v>23</v>
      </c>
      <c r="E53" t="s">
        <v>530</v>
      </c>
      <c r="F53" t="s">
        <v>540</v>
      </c>
      <c r="G53" t="s">
        <v>534</v>
      </c>
      <c r="H53" s="3">
        <v>46207</v>
      </c>
      <c r="I53" s="3">
        <v>46209</v>
      </c>
      <c r="J53" s="3">
        <v>46180</v>
      </c>
      <c r="K53" t="s">
        <v>391</v>
      </c>
    </row>
    <row r="54" spans="1:11" x14ac:dyDescent="0.35">
      <c r="A54">
        <v>58</v>
      </c>
      <c r="B54">
        <v>16</v>
      </c>
      <c r="C54" t="s">
        <v>37</v>
      </c>
      <c r="E54" t="s">
        <v>564</v>
      </c>
      <c r="F54" t="s">
        <v>540</v>
      </c>
      <c r="G54" t="s">
        <v>534</v>
      </c>
      <c r="H54" s="3">
        <v>46207</v>
      </c>
      <c r="I54" s="3">
        <v>46209</v>
      </c>
      <c r="J54" s="3">
        <v>46180</v>
      </c>
      <c r="K54" t="s">
        <v>391</v>
      </c>
    </row>
    <row r="55" spans="1:11" x14ac:dyDescent="0.35">
      <c r="A55">
        <v>59</v>
      </c>
      <c r="B55">
        <v>21</v>
      </c>
      <c r="C55" t="s">
        <v>73</v>
      </c>
      <c r="E55" t="s">
        <v>530</v>
      </c>
      <c r="F55" t="s">
        <v>554</v>
      </c>
      <c r="G55" t="s">
        <v>534</v>
      </c>
      <c r="H55" s="3">
        <v>46209</v>
      </c>
      <c r="I55" s="3">
        <v>46209</v>
      </c>
      <c r="J55" t="s">
        <v>530</v>
      </c>
    </row>
    <row r="56" spans="1:11" x14ac:dyDescent="0.35">
      <c r="A56">
        <v>60</v>
      </c>
      <c r="B56">
        <v>22</v>
      </c>
      <c r="C56" t="s">
        <v>30</v>
      </c>
      <c r="E56" t="s">
        <v>530</v>
      </c>
      <c r="F56" t="s">
        <v>554</v>
      </c>
      <c r="G56" t="s">
        <v>534</v>
      </c>
      <c r="H56" s="3">
        <v>46209</v>
      </c>
      <c r="I56" s="3">
        <v>46209</v>
      </c>
      <c r="J56" s="3">
        <v>46180</v>
      </c>
      <c r="K56" t="s">
        <v>391</v>
      </c>
    </row>
    <row r="57" spans="1:11" x14ac:dyDescent="0.35">
      <c r="A57">
        <v>61</v>
      </c>
      <c r="B57">
        <v>25</v>
      </c>
      <c r="C57" t="s">
        <v>37</v>
      </c>
      <c r="E57" s="3">
        <v>46060</v>
      </c>
      <c r="F57" s="3" t="s">
        <v>540</v>
      </c>
      <c r="G57" t="s">
        <v>534</v>
      </c>
      <c r="H57" t="s">
        <v>530</v>
      </c>
      <c r="I57" s="3">
        <v>46210</v>
      </c>
      <c r="J57" t="s">
        <v>530</v>
      </c>
    </row>
    <row r="58" spans="1:11" x14ac:dyDescent="0.35">
      <c r="A58">
        <v>62</v>
      </c>
      <c r="B58">
        <v>26</v>
      </c>
      <c r="C58" t="s">
        <v>45</v>
      </c>
      <c r="E58" t="s">
        <v>530</v>
      </c>
      <c r="F58" t="s">
        <v>540</v>
      </c>
      <c r="G58" t="s">
        <v>534</v>
      </c>
      <c r="H58" t="s">
        <v>530</v>
      </c>
      <c r="I58" s="3">
        <v>46210</v>
      </c>
      <c r="J58" t="s">
        <v>530</v>
      </c>
    </row>
    <row r="59" spans="1:11" x14ac:dyDescent="0.35">
      <c r="A59">
        <v>63</v>
      </c>
      <c r="B59">
        <v>17259</v>
      </c>
      <c r="C59" t="s">
        <v>23</v>
      </c>
      <c r="E59" t="s">
        <v>530</v>
      </c>
      <c r="F59" t="s">
        <v>554</v>
      </c>
      <c r="G59" t="s">
        <v>534</v>
      </c>
      <c r="H59" s="3">
        <v>46206</v>
      </c>
      <c r="I59" s="3">
        <v>46206</v>
      </c>
      <c r="J59" s="3">
        <v>46180</v>
      </c>
      <c r="K59" t="s">
        <v>391</v>
      </c>
    </row>
    <row r="60" spans="1:11" x14ac:dyDescent="0.35">
      <c r="A60">
        <v>64</v>
      </c>
      <c r="B60">
        <v>20</v>
      </c>
      <c r="C60" t="s">
        <v>45</v>
      </c>
      <c r="E60" t="s">
        <v>530</v>
      </c>
      <c r="F60" t="s">
        <v>554</v>
      </c>
      <c r="G60" t="s">
        <v>534</v>
      </c>
      <c r="H60" t="s">
        <v>530</v>
      </c>
      <c r="I60" s="3">
        <v>46211</v>
      </c>
      <c r="J60" t="s">
        <v>530</v>
      </c>
    </row>
    <row r="61" spans="1:11" x14ac:dyDescent="0.35">
      <c r="A61">
        <v>65</v>
      </c>
      <c r="B61">
        <v>12011</v>
      </c>
      <c r="C61" t="s">
        <v>23</v>
      </c>
      <c r="E61" t="s">
        <v>565</v>
      </c>
      <c r="F61" t="s">
        <v>540</v>
      </c>
      <c r="G61" t="s">
        <v>534</v>
      </c>
      <c r="H61" t="s">
        <v>530</v>
      </c>
      <c r="I61" s="3">
        <v>46202</v>
      </c>
      <c r="J61" s="3">
        <v>46241</v>
      </c>
      <c r="K61" t="s">
        <v>391</v>
      </c>
    </row>
    <row r="62" spans="1:11" x14ac:dyDescent="0.35">
      <c r="A62">
        <v>66</v>
      </c>
      <c r="B62">
        <v>23</v>
      </c>
      <c r="C62" t="s">
        <v>73</v>
      </c>
      <c r="E62" t="s">
        <v>530</v>
      </c>
      <c r="F62" t="s">
        <v>554</v>
      </c>
      <c r="G62" t="s">
        <v>534</v>
      </c>
      <c r="H62" t="s">
        <v>530</v>
      </c>
      <c r="I62" s="3">
        <v>46209</v>
      </c>
      <c r="J62" s="3">
        <v>46210</v>
      </c>
      <c r="K62" t="s">
        <v>391</v>
      </c>
    </row>
    <row r="63" spans="1:11" x14ac:dyDescent="0.35">
      <c r="A63">
        <v>67</v>
      </c>
      <c r="B63">
        <v>27</v>
      </c>
      <c r="C63" t="s">
        <v>30</v>
      </c>
      <c r="F63" t="s">
        <v>540</v>
      </c>
      <c r="G63" t="s">
        <v>566</v>
      </c>
      <c r="H63" s="3">
        <v>46210</v>
      </c>
      <c r="I63" s="3">
        <v>46211</v>
      </c>
      <c r="J63" s="3">
        <v>46211</v>
      </c>
      <c r="K63" t="s">
        <v>567</v>
      </c>
    </row>
    <row r="64" spans="1:11" x14ac:dyDescent="0.35">
      <c r="A64">
        <v>68</v>
      </c>
      <c r="B64">
        <v>30</v>
      </c>
      <c r="C64" t="s">
        <v>30</v>
      </c>
      <c r="E64" t="s">
        <v>530</v>
      </c>
      <c r="F64" t="s">
        <v>554</v>
      </c>
      <c r="G64" t="s">
        <v>568</v>
      </c>
      <c r="H64" s="3">
        <v>46212</v>
      </c>
      <c r="I64" s="3">
        <v>46212</v>
      </c>
      <c r="J64" t="s">
        <v>530</v>
      </c>
    </row>
    <row r="65" spans="1:11" x14ac:dyDescent="0.35">
      <c r="A65">
        <v>69</v>
      </c>
      <c r="B65">
        <v>31</v>
      </c>
      <c r="C65" t="s">
        <v>30</v>
      </c>
      <c r="E65" t="s">
        <v>530</v>
      </c>
      <c r="F65" t="s">
        <v>540</v>
      </c>
      <c r="G65" t="s">
        <v>534</v>
      </c>
      <c r="H65" s="3">
        <v>46212</v>
      </c>
      <c r="I65" s="3">
        <v>46212</v>
      </c>
      <c r="J65" t="s">
        <v>530</v>
      </c>
    </row>
    <row r="66" spans="1:11" x14ac:dyDescent="0.35">
      <c r="A66">
        <v>70</v>
      </c>
      <c r="B66">
        <v>33</v>
      </c>
      <c r="C66" t="s">
        <v>12</v>
      </c>
      <c r="E66" t="s">
        <v>569</v>
      </c>
      <c r="F66" t="s">
        <v>540</v>
      </c>
      <c r="G66" t="s">
        <v>570</v>
      </c>
      <c r="H66" s="3">
        <v>46212</v>
      </c>
      <c r="I66" s="3">
        <v>46212</v>
      </c>
      <c r="J66" t="s">
        <v>530</v>
      </c>
    </row>
    <row r="67" spans="1:11" x14ac:dyDescent="0.35">
      <c r="A67">
        <v>71</v>
      </c>
      <c r="B67">
        <v>34</v>
      </c>
      <c r="C67" t="s">
        <v>23</v>
      </c>
      <c r="E67" t="s">
        <v>569</v>
      </c>
      <c r="F67" t="s">
        <v>540</v>
      </c>
      <c r="G67" t="s">
        <v>534</v>
      </c>
      <c r="H67" s="3">
        <v>46212</v>
      </c>
      <c r="I67" s="3">
        <v>46212</v>
      </c>
      <c r="J67" t="s">
        <v>530</v>
      </c>
    </row>
    <row r="68" spans="1:11" x14ac:dyDescent="0.35">
      <c r="A68">
        <v>72</v>
      </c>
      <c r="B68">
        <v>35</v>
      </c>
      <c r="C68" t="s">
        <v>37</v>
      </c>
      <c r="E68" s="3">
        <v>46179</v>
      </c>
      <c r="F68" s="3" t="s">
        <v>554</v>
      </c>
      <c r="G68" t="s">
        <v>534</v>
      </c>
      <c r="H68" s="3">
        <v>46212</v>
      </c>
      <c r="I68" s="3">
        <v>46212</v>
      </c>
      <c r="J68" t="s">
        <v>530</v>
      </c>
    </row>
    <row r="69" spans="1:11" x14ac:dyDescent="0.35">
      <c r="A69">
        <v>73</v>
      </c>
      <c r="B69">
        <v>36</v>
      </c>
      <c r="C69" t="s">
        <v>53</v>
      </c>
      <c r="E69" s="3">
        <v>46210</v>
      </c>
      <c r="F69" s="3" t="s">
        <v>554</v>
      </c>
      <c r="G69" t="s">
        <v>534</v>
      </c>
      <c r="H69" s="3">
        <v>46212</v>
      </c>
      <c r="I69" s="3">
        <v>46212</v>
      </c>
      <c r="J69" t="s">
        <v>530</v>
      </c>
    </row>
    <row r="70" spans="1:11" x14ac:dyDescent="0.35">
      <c r="A70">
        <v>74</v>
      </c>
      <c r="B70">
        <v>37</v>
      </c>
      <c r="C70" t="s">
        <v>295</v>
      </c>
      <c r="E70" t="s">
        <v>530</v>
      </c>
      <c r="F70" t="s">
        <v>554</v>
      </c>
      <c r="G70" t="s">
        <v>534</v>
      </c>
      <c r="H70" s="3">
        <v>46212</v>
      </c>
      <c r="I70" s="3">
        <v>46212</v>
      </c>
      <c r="J70" t="s">
        <v>530</v>
      </c>
    </row>
    <row r="71" spans="1:11" x14ac:dyDescent="0.35">
      <c r="A71">
        <v>75</v>
      </c>
      <c r="B71">
        <v>38</v>
      </c>
      <c r="C71" t="s">
        <v>23</v>
      </c>
      <c r="E71" s="3">
        <v>46210</v>
      </c>
      <c r="F71" s="3" t="s">
        <v>554</v>
      </c>
      <c r="G71" t="s">
        <v>534</v>
      </c>
      <c r="H71" s="3">
        <v>46211</v>
      </c>
      <c r="I71" s="3">
        <v>46212</v>
      </c>
      <c r="J71" s="3">
        <v>46212</v>
      </c>
      <c r="K71" t="s">
        <v>391</v>
      </c>
    </row>
    <row r="72" spans="1:11" x14ac:dyDescent="0.35">
      <c r="A72">
        <v>76</v>
      </c>
      <c r="B72">
        <v>39</v>
      </c>
      <c r="C72" t="s">
        <v>292</v>
      </c>
      <c r="E72" s="3">
        <v>46241</v>
      </c>
      <c r="F72" s="3" t="s">
        <v>540</v>
      </c>
      <c r="G72" t="s">
        <v>534</v>
      </c>
      <c r="H72" s="3">
        <v>46212</v>
      </c>
      <c r="I72" s="3">
        <v>46212</v>
      </c>
      <c r="J72" t="s">
        <v>530</v>
      </c>
    </row>
    <row r="73" spans="1:11" x14ac:dyDescent="0.35">
      <c r="A73">
        <v>77</v>
      </c>
      <c r="B73">
        <v>42</v>
      </c>
      <c r="C73" t="s">
        <v>295</v>
      </c>
      <c r="E73" t="s">
        <v>530</v>
      </c>
      <c r="F73" t="s">
        <v>540</v>
      </c>
      <c r="G73" t="s">
        <v>534</v>
      </c>
      <c r="H73" s="3">
        <v>46212</v>
      </c>
      <c r="I73" s="3">
        <v>46212</v>
      </c>
      <c r="J73" s="3">
        <v>46212</v>
      </c>
      <c r="K73" t="s">
        <v>391</v>
      </c>
    </row>
    <row r="74" spans="1:11" x14ac:dyDescent="0.35">
      <c r="A74">
        <v>78</v>
      </c>
      <c r="B74">
        <v>43</v>
      </c>
      <c r="C74" t="s">
        <v>295</v>
      </c>
      <c r="E74" t="s">
        <v>530</v>
      </c>
      <c r="F74" t="s">
        <v>540</v>
      </c>
      <c r="G74" t="s">
        <v>534</v>
      </c>
      <c r="H74" s="3">
        <v>46212</v>
      </c>
      <c r="I74" s="3">
        <v>46212</v>
      </c>
      <c r="J74" t="s">
        <v>530</v>
      </c>
    </row>
    <row r="75" spans="1:11" x14ac:dyDescent="0.35">
      <c r="A75">
        <v>79</v>
      </c>
      <c r="B75">
        <v>44</v>
      </c>
      <c r="C75" t="s">
        <v>53</v>
      </c>
      <c r="E75" s="3">
        <v>46088</v>
      </c>
      <c r="F75" s="3" t="s">
        <v>554</v>
      </c>
      <c r="G75" t="s">
        <v>571</v>
      </c>
      <c r="H75" s="3">
        <v>46212</v>
      </c>
      <c r="I75" s="3">
        <v>46212</v>
      </c>
      <c r="J75" t="s">
        <v>530</v>
      </c>
      <c r="K75" t="s">
        <v>572</v>
      </c>
    </row>
    <row r="76" spans="1:11" x14ac:dyDescent="0.35">
      <c r="A76">
        <v>80</v>
      </c>
      <c r="B76">
        <v>46</v>
      </c>
      <c r="C76" t="s">
        <v>31</v>
      </c>
      <c r="E76" t="s">
        <v>530</v>
      </c>
      <c r="F76" t="s">
        <v>540</v>
      </c>
      <c r="G76" t="s">
        <v>556</v>
      </c>
      <c r="H76" s="3">
        <v>46213</v>
      </c>
      <c r="I76" s="3">
        <v>46213</v>
      </c>
      <c r="J76" t="s">
        <v>530</v>
      </c>
      <c r="K76" t="s">
        <v>573</v>
      </c>
    </row>
    <row r="77" spans="1:11" x14ac:dyDescent="0.35">
      <c r="A77">
        <v>81</v>
      </c>
      <c r="B77">
        <v>50</v>
      </c>
      <c r="C77" t="s">
        <v>31</v>
      </c>
      <c r="F77" t="s">
        <v>540</v>
      </c>
      <c r="G77" t="s">
        <v>281</v>
      </c>
      <c r="H77" s="3">
        <v>46213</v>
      </c>
      <c r="I77" t="s">
        <v>530</v>
      </c>
      <c r="J77" t="s">
        <v>530</v>
      </c>
      <c r="K77" t="s">
        <v>574</v>
      </c>
    </row>
    <row r="78" spans="1:11" x14ac:dyDescent="0.35">
      <c r="A78">
        <v>82</v>
      </c>
      <c r="B78">
        <v>51</v>
      </c>
      <c r="C78" t="s">
        <v>31</v>
      </c>
      <c r="F78" t="s">
        <v>540</v>
      </c>
      <c r="G78" t="s">
        <v>551</v>
      </c>
      <c r="H78" s="3">
        <v>46213</v>
      </c>
      <c r="I78" s="3">
        <v>46213</v>
      </c>
      <c r="J78" t="s">
        <v>530</v>
      </c>
      <c r="K78" t="s">
        <v>574</v>
      </c>
    </row>
    <row r="79" spans="1:11" x14ac:dyDescent="0.35">
      <c r="A79">
        <v>83</v>
      </c>
      <c r="B79">
        <v>52</v>
      </c>
      <c r="C79" t="s">
        <v>30</v>
      </c>
      <c r="F79" t="s">
        <v>540</v>
      </c>
      <c r="G79" t="s">
        <v>575</v>
      </c>
      <c r="H79" s="3">
        <v>46213</v>
      </c>
      <c r="I79" s="3">
        <v>46213</v>
      </c>
      <c r="J79" t="s">
        <v>530</v>
      </c>
    </row>
    <row r="80" spans="1:11" x14ac:dyDescent="0.35">
      <c r="A80">
        <v>84</v>
      </c>
      <c r="B80">
        <v>53</v>
      </c>
      <c r="C80" t="s">
        <v>53</v>
      </c>
      <c r="F80" t="s">
        <v>540</v>
      </c>
      <c r="G80" t="s">
        <v>560</v>
      </c>
      <c r="H80" s="3">
        <v>46213</v>
      </c>
      <c r="I80" s="3">
        <v>46213</v>
      </c>
      <c r="J80" t="s">
        <v>530</v>
      </c>
      <c r="K80" t="s">
        <v>576</v>
      </c>
    </row>
    <row r="81" spans="1:11" x14ac:dyDescent="0.35">
      <c r="A81">
        <v>85</v>
      </c>
      <c r="B81">
        <v>49</v>
      </c>
      <c r="C81" t="s">
        <v>37</v>
      </c>
      <c r="F81" t="s">
        <v>540</v>
      </c>
      <c r="G81" t="s">
        <v>556</v>
      </c>
      <c r="H81" s="3">
        <v>46213</v>
      </c>
      <c r="I81" s="3">
        <v>46212</v>
      </c>
      <c r="J81" s="3">
        <v>46213</v>
      </c>
      <c r="K81" t="s">
        <v>577</v>
      </c>
    </row>
    <row r="82" spans="1:11" x14ac:dyDescent="0.35">
      <c r="A82">
        <v>86</v>
      </c>
      <c r="B82">
        <v>1770</v>
      </c>
      <c r="C82" t="s">
        <v>45</v>
      </c>
      <c r="F82" t="s">
        <v>540</v>
      </c>
      <c r="G82" t="s">
        <v>556</v>
      </c>
      <c r="H82" s="3">
        <v>46213</v>
      </c>
      <c r="I82" t="s">
        <v>530</v>
      </c>
      <c r="J82" s="3">
        <v>46213</v>
      </c>
      <c r="K82" t="s">
        <v>391</v>
      </c>
    </row>
    <row r="83" spans="1:11" x14ac:dyDescent="0.35">
      <c r="A83">
        <v>87</v>
      </c>
      <c r="B83" t="s">
        <v>530</v>
      </c>
      <c r="C83" t="s">
        <v>393</v>
      </c>
      <c r="F83" t="s">
        <v>554</v>
      </c>
      <c r="G83" t="s">
        <v>560</v>
      </c>
      <c r="H83" s="3">
        <v>46213</v>
      </c>
      <c r="I83" t="s">
        <v>530</v>
      </c>
      <c r="J83" s="3">
        <v>46213</v>
      </c>
      <c r="K83" t="s">
        <v>391</v>
      </c>
    </row>
    <row r="84" spans="1:11" x14ac:dyDescent="0.35">
      <c r="A84">
        <v>88</v>
      </c>
      <c r="B84">
        <v>49</v>
      </c>
      <c r="C84" t="s">
        <v>37</v>
      </c>
      <c r="F84" t="s">
        <v>554</v>
      </c>
      <c r="G84" t="s">
        <v>560</v>
      </c>
      <c r="H84" s="3">
        <v>46213</v>
      </c>
      <c r="I84" t="s">
        <v>530</v>
      </c>
      <c r="J84" s="3">
        <v>46213</v>
      </c>
      <c r="K84" t="s">
        <v>576</v>
      </c>
    </row>
    <row r="85" spans="1:11" x14ac:dyDescent="0.35">
      <c r="A85">
        <v>89</v>
      </c>
      <c r="B85">
        <v>54</v>
      </c>
      <c r="C85" t="s">
        <v>45</v>
      </c>
      <c r="F85" t="s">
        <v>554</v>
      </c>
      <c r="G85" s="43" t="s">
        <v>534</v>
      </c>
      <c r="H85" s="3">
        <v>46214</v>
      </c>
      <c r="I85" s="3">
        <v>46214</v>
      </c>
      <c r="J85" t="s">
        <v>530</v>
      </c>
    </row>
    <row r="86" spans="1:11" x14ac:dyDescent="0.35">
      <c r="A86">
        <v>90</v>
      </c>
      <c r="B86" t="s">
        <v>530</v>
      </c>
      <c r="C86" t="s">
        <v>69</v>
      </c>
      <c r="F86" t="s">
        <v>554</v>
      </c>
      <c r="G86" t="s">
        <v>281</v>
      </c>
      <c r="H86" s="3">
        <v>46214</v>
      </c>
      <c r="I86" s="3">
        <v>46214</v>
      </c>
      <c r="J86" t="s">
        <v>530</v>
      </c>
      <c r="K86" t="s">
        <v>578</v>
      </c>
    </row>
    <row r="87" spans="1:11" x14ac:dyDescent="0.35">
      <c r="A87">
        <v>91</v>
      </c>
      <c r="B87">
        <v>55</v>
      </c>
      <c r="C87" t="s">
        <v>37</v>
      </c>
      <c r="F87" t="s">
        <v>554</v>
      </c>
      <c r="G87" t="s">
        <v>281</v>
      </c>
      <c r="H87" s="3">
        <v>46214</v>
      </c>
      <c r="I87" s="3">
        <v>46214</v>
      </c>
      <c r="J87" t="s">
        <v>530</v>
      </c>
    </row>
    <row r="88" spans="1:11" x14ac:dyDescent="0.35">
      <c r="A88">
        <v>92</v>
      </c>
      <c r="B88">
        <v>56</v>
      </c>
      <c r="C88" t="s">
        <v>37</v>
      </c>
      <c r="F88" t="s">
        <v>554</v>
      </c>
      <c r="G88" t="s">
        <v>281</v>
      </c>
      <c r="H88" s="3">
        <v>46214</v>
      </c>
      <c r="I88" s="3">
        <v>46214</v>
      </c>
      <c r="J88" t="s">
        <v>530</v>
      </c>
    </row>
    <row r="89" spans="1:11" x14ac:dyDescent="0.35">
      <c r="A89">
        <v>93</v>
      </c>
      <c r="B89">
        <v>54</v>
      </c>
      <c r="C89" t="s">
        <v>53</v>
      </c>
      <c r="E89" t="s">
        <v>530</v>
      </c>
      <c r="F89" t="s">
        <v>554</v>
      </c>
      <c r="G89" s="43" t="s">
        <v>534</v>
      </c>
      <c r="H89" s="3">
        <v>46214</v>
      </c>
      <c r="I89" s="3">
        <v>46214</v>
      </c>
      <c r="J89" t="s">
        <v>530</v>
      </c>
    </row>
    <row r="90" spans="1:11" x14ac:dyDescent="0.35">
      <c r="A90">
        <v>94</v>
      </c>
      <c r="B90">
        <v>55</v>
      </c>
      <c r="C90" t="s">
        <v>37</v>
      </c>
      <c r="E90" t="s">
        <v>530</v>
      </c>
      <c r="F90" t="s">
        <v>554</v>
      </c>
      <c r="G90" s="43" t="s">
        <v>534</v>
      </c>
      <c r="H90" s="3">
        <v>46214</v>
      </c>
      <c r="I90" s="3">
        <v>46214</v>
      </c>
      <c r="J90" t="s">
        <v>530</v>
      </c>
    </row>
    <row r="91" spans="1:11" x14ac:dyDescent="0.35">
      <c r="A91">
        <v>95</v>
      </c>
      <c r="B91">
        <v>56</v>
      </c>
      <c r="C91" t="s">
        <v>37</v>
      </c>
      <c r="E91" t="s">
        <v>530</v>
      </c>
      <c r="F91" t="s">
        <v>554</v>
      </c>
      <c r="G91" s="43" t="s">
        <v>534</v>
      </c>
      <c r="H91" s="3">
        <v>46214</v>
      </c>
      <c r="I91" s="3">
        <v>46214</v>
      </c>
      <c r="J91" t="s">
        <v>530</v>
      </c>
    </row>
    <row r="92" spans="1:11" x14ac:dyDescent="0.35">
      <c r="A92">
        <v>96</v>
      </c>
      <c r="B92">
        <v>40</v>
      </c>
      <c r="C92" t="s">
        <v>292</v>
      </c>
      <c r="E92" t="s">
        <v>530</v>
      </c>
      <c r="F92" t="s">
        <v>540</v>
      </c>
      <c r="G92" s="43" t="s">
        <v>534</v>
      </c>
      <c r="H92" s="3">
        <v>46214</v>
      </c>
      <c r="I92" s="3">
        <v>46214</v>
      </c>
      <c r="J92" t="s">
        <v>530</v>
      </c>
    </row>
    <row r="93" spans="1:11" x14ac:dyDescent="0.35">
      <c r="A93">
        <v>97</v>
      </c>
      <c r="B93" t="s">
        <v>530</v>
      </c>
      <c r="C93" t="s">
        <v>69</v>
      </c>
      <c r="E93" s="3">
        <v>46214</v>
      </c>
      <c r="F93" t="s">
        <v>554</v>
      </c>
      <c r="G93" t="s">
        <v>560</v>
      </c>
      <c r="H93" s="3">
        <v>46214</v>
      </c>
      <c r="I93" t="s">
        <v>530</v>
      </c>
      <c r="J93" s="3">
        <v>46214</v>
      </c>
      <c r="K93" t="s">
        <v>391</v>
      </c>
    </row>
    <row r="94" spans="1:11" x14ac:dyDescent="0.35">
      <c r="A94">
        <v>98</v>
      </c>
      <c r="B94" t="s">
        <v>530</v>
      </c>
      <c r="C94" t="s">
        <v>273</v>
      </c>
      <c r="E94" s="3">
        <v>46211</v>
      </c>
      <c r="F94" t="s">
        <v>554</v>
      </c>
      <c r="G94" t="s">
        <v>560</v>
      </c>
      <c r="H94" s="3">
        <v>46214</v>
      </c>
      <c r="I94" t="s">
        <v>530</v>
      </c>
      <c r="J94" s="3">
        <v>46214</v>
      </c>
      <c r="K94" t="s">
        <v>391</v>
      </c>
    </row>
    <row r="95" spans="1:11" x14ac:dyDescent="0.35">
      <c r="A95">
        <v>99</v>
      </c>
      <c r="B95" t="s">
        <v>530</v>
      </c>
      <c r="C95" t="s">
        <v>273</v>
      </c>
      <c r="E95" s="3">
        <v>46211</v>
      </c>
      <c r="F95" t="s">
        <v>554</v>
      </c>
      <c r="G95" t="s">
        <v>560</v>
      </c>
      <c r="H95" s="3">
        <v>46214</v>
      </c>
      <c r="I95" t="s">
        <v>530</v>
      </c>
      <c r="J95" s="3">
        <v>46214</v>
      </c>
      <c r="K95" t="s">
        <v>391</v>
      </c>
    </row>
    <row r="96" spans="1:11" x14ac:dyDescent="0.35">
      <c r="A96">
        <v>100</v>
      </c>
      <c r="C96" t="s">
        <v>45</v>
      </c>
      <c r="E96" s="3">
        <v>46214</v>
      </c>
      <c r="F96" t="s">
        <v>554</v>
      </c>
      <c r="G96" t="s">
        <v>560</v>
      </c>
      <c r="H96" s="3">
        <v>46214</v>
      </c>
      <c r="I96" t="s">
        <v>530</v>
      </c>
      <c r="J96" s="3">
        <v>46214</v>
      </c>
      <c r="K96" t="s">
        <v>391</v>
      </c>
    </row>
    <row r="97" spans="1:10" x14ac:dyDescent="0.35">
      <c r="A97">
        <v>101</v>
      </c>
      <c r="B97">
        <v>59</v>
      </c>
      <c r="C97" t="s">
        <v>37</v>
      </c>
      <c r="F97" t="s">
        <v>554</v>
      </c>
      <c r="G97" t="s">
        <v>560</v>
      </c>
      <c r="I97" s="3">
        <v>46216</v>
      </c>
    </row>
    <row r="98" spans="1:10" x14ac:dyDescent="0.35">
      <c r="A98">
        <v>102</v>
      </c>
      <c r="B98">
        <v>60</v>
      </c>
      <c r="C98" t="s">
        <v>37</v>
      </c>
      <c r="F98" t="s">
        <v>554</v>
      </c>
      <c r="G98" t="s">
        <v>560</v>
      </c>
      <c r="I98" s="3">
        <v>46216</v>
      </c>
    </row>
    <row r="99" spans="1:10" x14ac:dyDescent="0.35">
      <c r="A99">
        <v>103</v>
      </c>
      <c r="B99">
        <v>61</v>
      </c>
      <c r="C99" t="s">
        <v>37</v>
      </c>
      <c r="F99" t="s">
        <v>554</v>
      </c>
      <c r="G99" t="s">
        <v>560</v>
      </c>
      <c r="I99" s="3">
        <v>46216</v>
      </c>
    </row>
    <row r="100" spans="1:10" x14ac:dyDescent="0.35">
      <c r="A100">
        <v>104</v>
      </c>
      <c r="B100">
        <v>62</v>
      </c>
      <c r="C100" t="s">
        <v>37</v>
      </c>
      <c r="F100" t="s">
        <v>554</v>
      </c>
      <c r="G100" t="s">
        <v>560</v>
      </c>
      <c r="I100" s="3">
        <v>46216</v>
      </c>
    </row>
    <row r="101" spans="1:10" x14ac:dyDescent="0.35">
      <c r="A101">
        <v>105</v>
      </c>
      <c r="B101">
        <v>63</v>
      </c>
      <c r="C101" t="s">
        <v>295</v>
      </c>
      <c r="F101" t="s">
        <v>554</v>
      </c>
      <c r="G101" t="s">
        <v>560</v>
      </c>
      <c r="I101" s="3">
        <v>46216</v>
      </c>
    </row>
    <row r="102" spans="1:10" x14ac:dyDescent="0.35">
      <c r="A102">
        <v>106</v>
      </c>
      <c r="B102">
        <v>64</v>
      </c>
      <c r="C102" t="s">
        <v>295</v>
      </c>
      <c r="F102" t="s">
        <v>554</v>
      </c>
      <c r="G102" t="s">
        <v>560</v>
      </c>
      <c r="I102" s="3">
        <v>46216</v>
      </c>
    </row>
    <row r="103" spans="1:10" x14ac:dyDescent="0.35">
      <c r="A103">
        <v>107</v>
      </c>
      <c r="B103">
        <v>65</v>
      </c>
      <c r="C103" t="s">
        <v>45</v>
      </c>
      <c r="F103" t="s">
        <v>554</v>
      </c>
      <c r="G103" t="s">
        <v>560</v>
      </c>
      <c r="I103" s="3">
        <v>46216</v>
      </c>
    </row>
    <row r="104" spans="1:10" x14ac:dyDescent="0.35">
      <c r="A104">
        <v>108</v>
      </c>
      <c r="B104">
        <v>66</v>
      </c>
      <c r="C104" t="s">
        <v>45</v>
      </c>
      <c r="F104" t="s">
        <v>554</v>
      </c>
      <c r="G104" t="s">
        <v>560</v>
      </c>
      <c r="I104" s="3">
        <v>46216</v>
      </c>
    </row>
    <row r="105" spans="1:10" x14ac:dyDescent="0.35">
      <c r="A105">
        <v>109</v>
      </c>
      <c r="B105">
        <v>67</v>
      </c>
      <c r="C105" t="s">
        <v>53</v>
      </c>
      <c r="F105" t="s">
        <v>554</v>
      </c>
      <c r="G105" t="s">
        <v>560</v>
      </c>
      <c r="I105" s="3">
        <v>46216</v>
      </c>
    </row>
    <row r="106" spans="1:10" x14ac:dyDescent="0.35">
      <c r="A106">
        <v>110</v>
      </c>
      <c r="B106">
        <v>68</v>
      </c>
      <c r="C106" t="s">
        <v>45</v>
      </c>
      <c r="F106" t="s">
        <v>554</v>
      </c>
      <c r="G106" t="s">
        <v>560</v>
      </c>
      <c r="I106" s="3">
        <v>46216</v>
      </c>
    </row>
    <row r="107" spans="1:10" x14ac:dyDescent="0.35">
      <c r="A107">
        <v>111</v>
      </c>
      <c r="B107">
        <v>69</v>
      </c>
      <c r="C107" t="s">
        <v>53</v>
      </c>
      <c r="F107" t="s">
        <v>554</v>
      </c>
      <c r="G107" t="s">
        <v>560</v>
      </c>
      <c r="I107" s="3">
        <v>46216</v>
      </c>
    </row>
    <row r="108" spans="1:10" x14ac:dyDescent="0.35">
      <c r="A108">
        <v>112</v>
      </c>
      <c r="B108">
        <v>74</v>
      </c>
      <c r="C108" t="s">
        <v>12</v>
      </c>
      <c r="F108" s="3" t="s">
        <v>540</v>
      </c>
      <c r="G108" t="s">
        <v>556</v>
      </c>
      <c r="I108" s="3">
        <v>46217</v>
      </c>
    </row>
    <row r="109" spans="1:10" x14ac:dyDescent="0.35">
      <c r="A109">
        <v>113</v>
      </c>
      <c r="B109">
        <v>81</v>
      </c>
      <c r="C109" t="s">
        <v>49</v>
      </c>
      <c r="F109" t="s">
        <v>554</v>
      </c>
      <c r="G109" t="s">
        <v>560</v>
      </c>
      <c r="I109" s="3">
        <v>46217</v>
      </c>
    </row>
    <row r="110" spans="1:10" x14ac:dyDescent="0.35">
      <c r="A110">
        <v>114</v>
      </c>
      <c r="B110">
        <v>80</v>
      </c>
      <c r="C110" t="s">
        <v>393</v>
      </c>
      <c r="F110" t="s">
        <v>554</v>
      </c>
      <c r="G110" t="s">
        <v>560</v>
      </c>
      <c r="I110" s="3">
        <v>46217</v>
      </c>
    </row>
    <row r="111" spans="1:10" x14ac:dyDescent="0.35">
      <c r="A111">
        <v>115</v>
      </c>
      <c r="B111">
        <v>79</v>
      </c>
      <c r="C111" t="s">
        <v>292</v>
      </c>
      <c r="F111" t="s">
        <v>540</v>
      </c>
      <c r="G111" t="s">
        <v>579</v>
      </c>
      <c r="H111" s="3">
        <v>46217</v>
      </c>
      <c r="I111" s="3">
        <v>46217</v>
      </c>
    </row>
    <row r="112" spans="1:10" x14ac:dyDescent="0.35">
      <c r="A112">
        <v>116</v>
      </c>
      <c r="B112">
        <v>64</v>
      </c>
      <c r="C112" t="s">
        <v>295</v>
      </c>
      <c r="F112" t="s">
        <v>540</v>
      </c>
      <c r="G112" s="43" t="s">
        <v>534</v>
      </c>
      <c r="H112" s="3">
        <v>46218</v>
      </c>
      <c r="I112" s="3">
        <v>46218</v>
      </c>
      <c r="J112" s="3">
        <v>46218</v>
      </c>
    </row>
    <row r="113" spans="1:9" x14ac:dyDescent="0.35">
      <c r="A113">
        <v>117</v>
      </c>
      <c r="B113">
        <v>69</v>
      </c>
      <c r="C113" t="s">
        <v>53</v>
      </c>
      <c r="F113" t="s">
        <v>554</v>
      </c>
      <c r="G113" s="43" t="s">
        <v>534</v>
      </c>
      <c r="H113" s="3">
        <v>46218</v>
      </c>
      <c r="I113" s="3">
        <v>46218</v>
      </c>
    </row>
    <row r="114" spans="1:9" x14ac:dyDescent="0.35">
      <c r="A114">
        <v>118</v>
      </c>
      <c r="B114">
        <v>67</v>
      </c>
      <c r="C114" t="s">
        <v>53</v>
      </c>
      <c r="F114" t="s">
        <v>554</v>
      </c>
      <c r="G114" s="43" t="s">
        <v>534</v>
      </c>
      <c r="H114" s="3">
        <v>46218</v>
      </c>
      <c r="I114" s="3">
        <v>46218</v>
      </c>
    </row>
    <row r="115" spans="1:9" x14ac:dyDescent="0.35">
      <c r="A115">
        <v>119</v>
      </c>
      <c r="B115">
        <v>82</v>
      </c>
      <c r="C115" t="s">
        <v>54</v>
      </c>
      <c r="F115" t="s">
        <v>554</v>
      </c>
      <c r="G115" t="s">
        <v>560</v>
      </c>
      <c r="I115" s="3">
        <v>46218</v>
      </c>
    </row>
    <row r="116" spans="1:9" x14ac:dyDescent="0.35">
      <c r="A116">
        <v>120</v>
      </c>
      <c r="B116">
        <v>83</v>
      </c>
      <c r="C116" t="s">
        <v>393</v>
      </c>
      <c r="F116" t="s">
        <v>554</v>
      </c>
      <c r="G116" t="s">
        <v>560</v>
      </c>
      <c r="I116" s="3">
        <v>46218</v>
      </c>
    </row>
    <row r="117" spans="1:9" x14ac:dyDescent="0.35">
      <c r="A117">
        <v>121</v>
      </c>
      <c r="B117">
        <v>84</v>
      </c>
      <c r="C117" t="s">
        <v>53</v>
      </c>
      <c r="F117" t="s">
        <v>554</v>
      </c>
      <c r="G117" t="s">
        <v>560</v>
      </c>
      <c r="I117" s="3">
        <v>46218</v>
      </c>
    </row>
    <row r="118" spans="1:9" x14ac:dyDescent="0.35">
      <c r="A118">
        <v>122</v>
      </c>
      <c r="B118">
        <v>85</v>
      </c>
      <c r="C118" t="s">
        <v>37</v>
      </c>
      <c r="F118" t="s">
        <v>554</v>
      </c>
      <c r="G118" t="s">
        <v>560</v>
      </c>
      <c r="I118" s="3">
        <v>46218</v>
      </c>
    </row>
    <row r="119" spans="1:9" x14ac:dyDescent="0.35">
      <c r="A119">
        <v>123</v>
      </c>
      <c r="B119">
        <v>86</v>
      </c>
      <c r="C119" t="s">
        <v>393</v>
      </c>
      <c r="F119" t="s">
        <v>554</v>
      </c>
      <c r="G119" t="s">
        <v>560</v>
      </c>
      <c r="I119" s="3">
        <v>46218</v>
      </c>
    </row>
    <row r="120" spans="1:9" x14ac:dyDescent="0.35">
      <c r="A120">
        <v>124</v>
      </c>
      <c r="B120">
        <v>87</v>
      </c>
      <c r="C120" t="s">
        <v>393</v>
      </c>
      <c r="F120" t="s">
        <v>554</v>
      </c>
      <c r="G120" t="s">
        <v>560</v>
      </c>
      <c r="I120" s="3">
        <v>46218</v>
      </c>
    </row>
    <row r="121" spans="1:9" x14ac:dyDescent="0.35">
      <c r="A121">
        <v>125</v>
      </c>
      <c r="B121">
        <v>88</v>
      </c>
      <c r="C121" t="s">
        <v>393</v>
      </c>
      <c r="F121" t="s">
        <v>554</v>
      </c>
      <c r="G121" t="s">
        <v>560</v>
      </c>
      <c r="I121" s="3">
        <v>46218</v>
      </c>
    </row>
    <row r="122" spans="1:9" x14ac:dyDescent="0.35">
      <c r="I122" s="3"/>
    </row>
    <row r="123" spans="1:9" x14ac:dyDescent="0.35">
      <c r="A123">
        <v>127</v>
      </c>
      <c r="B123">
        <v>90</v>
      </c>
      <c r="C123" t="s">
        <v>580</v>
      </c>
      <c r="F123" t="s">
        <v>554</v>
      </c>
      <c r="G123" t="s">
        <v>560</v>
      </c>
      <c r="I123" s="3">
        <v>46218</v>
      </c>
    </row>
    <row r="124" spans="1:9" x14ac:dyDescent="0.35">
      <c r="A124">
        <v>128</v>
      </c>
      <c r="B124">
        <v>91</v>
      </c>
      <c r="C124" t="s">
        <v>37</v>
      </c>
      <c r="F124" t="s">
        <v>554</v>
      </c>
      <c r="G124" t="s">
        <v>560</v>
      </c>
      <c r="I124" s="3">
        <v>46218</v>
      </c>
    </row>
    <row r="125" spans="1:9" x14ac:dyDescent="0.35">
      <c r="A125">
        <v>129</v>
      </c>
      <c r="B125">
        <v>93</v>
      </c>
      <c r="C125" t="s">
        <v>393</v>
      </c>
      <c r="F125" t="s">
        <v>554</v>
      </c>
      <c r="G125" t="s">
        <v>560</v>
      </c>
      <c r="I125" s="3">
        <v>46219</v>
      </c>
    </row>
    <row r="126" spans="1:9" x14ac:dyDescent="0.35">
      <c r="A126">
        <v>130</v>
      </c>
      <c r="B126">
        <v>94</v>
      </c>
      <c r="C126" t="s">
        <v>69</v>
      </c>
      <c r="F126" t="s">
        <v>554</v>
      </c>
      <c r="G126" t="s">
        <v>560</v>
      </c>
      <c r="I126" s="3">
        <v>46219</v>
      </c>
    </row>
    <row r="127" spans="1:9" x14ac:dyDescent="0.35">
      <c r="A127">
        <v>131</v>
      </c>
      <c r="B127">
        <v>95</v>
      </c>
      <c r="C127" t="s">
        <v>54</v>
      </c>
      <c r="F127" t="s">
        <v>554</v>
      </c>
      <c r="G127" t="s">
        <v>560</v>
      </c>
      <c r="I127" s="3">
        <v>46219</v>
      </c>
    </row>
    <row r="128" spans="1:9" x14ac:dyDescent="0.35">
      <c r="A128">
        <v>132</v>
      </c>
      <c r="B128">
        <v>96</v>
      </c>
      <c r="C128" t="s">
        <v>295</v>
      </c>
      <c r="F128" t="s">
        <v>554</v>
      </c>
      <c r="G128" t="s">
        <v>560</v>
      </c>
      <c r="I128" s="3">
        <v>46219</v>
      </c>
    </row>
    <row r="129" spans="1:9" x14ac:dyDescent="0.35">
      <c r="A129">
        <v>133</v>
      </c>
      <c r="B129">
        <v>97</v>
      </c>
      <c r="C129" t="s">
        <v>49</v>
      </c>
      <c r="F129" t="s">
        <v>554</v>
      </c>
      <c r="G129" t="s">
        <v>560</v>
      </c>
      <c r="I129" s="3">
        <v>46220</v>
      </c>
    </row>
    <row r="130" spans="1:9" x14ac:dyDescent="0.35">
      <c r="A130">
        <v>134</v>
      </c>
      <c r="B130">
        <v>98</v>
      </c>
      <c r="C130" t="s">
        <v>49</v>
      </c>
      <c r="F130" t="s">
        <v>554</v>
      </c>
      <c r="G130" t="s">
        <v>560</v>
      </c>
      <c r="I130" s="3">
        <v>46221</v>
      </c>
    </row>
    <row r="131" spans="1:9" x14ac:dyDescent="0.35">
      <c r="A131">
        <v>135</v>
      </c>
      <c r="B131">
        <v>99</v>
      </c>
      <c r="C131" t="s">
        <v>580</v>
      </c>
      <c r="F131" t="s">
        <v>554</v>
      </c>
      <c r="G131" t="s">
        <v>560</v>
      </c>
      <c r="I131" s="3">
        <v>46221</v>
      </c>
    </row>
    <row r="132" spans="1:9" x14ac:dyDescent="0.35">
      <c r="A132">
        <v>136</v>
      </c>
      <c r="B132">
        <v>100</v>
      </c>
      <c r="C132" t="s">
        <v>54</v>
      </c>
      <c r="F132" t="s">
        <v>554</v>
      </c>
      <c r="G132" t="s">
        <v>560</v>
      </c>
      <c r="I132" s="3">
        <v>46221</v>
      </c>
    </row>
    <row r="133" spans="1:9" x14ac:dyDescent="0.35">
      <c r="A133">
        <v>137</v>
      </c>
      <c r="B133">
        <v>101</v>
      </c>
      <c r="C133" t="s">
        <v>580</v>
      </c>
      <c r="F133" t="s">
        <v>554</v>
      </c>
      <c r="G133" t="s">
        <v>560</v>
      </c>
      <c r="I133" s="3">
        <v>46221</v>
      </c>
    </row>
    <row r="134" spans="1:9" x14ac:dyDescent="0.35">
      <c r="A134">
        <v>138</v>
      </c>
      <c r="C134" t="s">
        <v>393</v>
      </c>
      <c r="F134" t="s">
        <v>554</v>
      </c>
      <c r="G134" t="s">
        <v>560</v>
      </c>
      <c r="I134" s="3">
        <v>46221</v>
      </c>
    </row>
    <row r="135" spans="1:9" x14ac:dyDescent="0.35">
      <c r="A135">
        <v>139</v>
      </c>
      <c r="B135">
        <v>105</v>
      </c>
      <c r="C135" t="s">
        <v>73</v>
      </c>
      <c r="F135" t="s">
        <v>554</v>
      </c>
      <c r="G135" t="s">
        <v>560</v>
      </c>
      <c r="I135" s="3">
        <v>46221</v>
      </c>
    </row>
    <row r="136" spans="1:9" x14ac:dyDescent="0.35">
      <c r="A136">
        <v>140</v>
      </c>
      <c r="B136">
        <v>106</v>
      </c>
      <c r="C136" t="s">
        <v>49</v>
      </c>
      <c r="F136" t="s">
        <v>554</v>
      </c>
      <c r="G136" t="s">
        <v>560</v>
      </c>
      <c r="I136" s="3">
        <v>46221</v>
      </c>
    </row>
    <row r="137" spans="1:9" x14ac:dyDescent="0.35">
      <c r="A137">
        <v>141</v>
      </c>
      <c r="B137">
        <v>110</v>
      </c>
      <c r="C137" t="s">
        <v>448</v>
      </c>
      <c r="F137" t="s">
        <v>554</v>
      </c>
      <c r="G137" t="s">
        <v>560</v>
      </c>
      <c r="I137" s="3">
        <v>46221</v>
      </c>
    </row>
    <row r="138" spans="1:9" x14ac:dyDescent="0.35">
      <c r="A138">
        <v>142</v>
      </c>
      <c r="B138">
        <v>111</v>
      </c>
      <c r="C138" t="s">
        <v>21</v>
      </c>
      <c r="F138" t="s">
        <v>281</v>
      </c>
      <c r="G138" t="s">
        <v>581</v>
      </c>
      <c r="I138" s="3">
        <v>46223</v>
      </c>
    </row>
    <row r="139" spans="1:9" x14ac:dyDescent="0.35">
      <c r="A139">
        <v>143</v>
      </c>
      <c r="B139">
        <v>102</v>
      </c>
      <c r="C139" t="s">
        <v>54</v>
      </c>
      <c r="F139" t="s">
        <v>554</v>
      </c>
      <c r="G139" s="43" t="s">
        <v>534</v>
      </c>
      <c r="I139" s="3">
        <v>46223</v>
      </c>
    </row>
    <row r="140" spans="1:9" x14ac:dyDescent="0.35">
      <c r="A140">
        <v>144</v>
      </c>
      <c r="B140">
        <v>103</v>
      </c>
      <c r="C140" t="s">
        <v>49</v>
      </c>
      <c r="F140" t="s">
        <v>554</v>
      </c>
      <c r="G140" s="43" t="s">
        <v>534</v>
      </c>
      <c r="I140" s="3">
        <v>46223</v>
      </c>
    </row>
    <row r="141" spans="1:9" x14ac:dyDescent="0.35">
      <c r="A141">
        <v>145</v>
      </c>
      <c r="B141">
        <v>104</v>
      </c>
      <c r="C141" t="s">
        <v>54</v>
      </c>
      <c r="F141" t="s">
        <v>540</v>
      </c>
      <c r="G141" t="s">
        <v>582</v>
      </c>
      <c r="I141" s="3">
        <v>46223</v>
      </c>
    </row>
    <row r="142" spans="1:9" x14ac:dyDescent="0.35">
      <c r="A142">
        <v>146</v>
      </c>
      <c r="B142">
        <v>108</v>
      </c>
      <c r="C142" t="s">
        <v>54</v>
      </c>
      <c r="F142" t="s">
        <v>554</v>
      </c>
      <c r="G142" s="43" t="s">
        <v>534</v>
      </c>
      <c r="I142" s="3">
        <v>46223</v>
      </c>
    </row>
    <row r="143" spans="1:9" x14ac:dyDescent="0.35">
      <c r="A143">
        <v>147</v>
      </c>
      <c r="B143">
        <v>109</v>
      </c>
      <c r="C143" t="s">
        <v>54</v>
      </c>
      <c r="F143" t="s">
        <v>540</v>
      </c>
      <c r="G143" s="43" t="s">
        <v>582</v>
      </c>
      <c r="I143" s="3">
        <v>46223</v>
      </c>
    </row>
    <row r="144" spans="1:9" x14ac:dyDescent="0.35">
      <c r="A144">
        <v>148</v>
      </c>
      <c r="C144" t="s">
        <v>30</v>
      </c>
      <c r="F144" t="s">
        <v>540</v>
      </c>
      <c r="G144" s="43" t="s">
        <v>9</v>
      </c>
      <c r="H144" s="3">
        <v>46223</v>
      </c>
      <c r="I144" s="3">
        <v>46224</v>
      </c>
    </row>
    <row r="145" spans="1:21" x14ac:dyDescent="0.35">
      <c r="A145">
        <v>149</v>
      </c>
      <c r="B145">
        <v>90</v>
      </c>
      <c r="C145" t="s">
        <v>580</v>
      </c>
      <c r="F145" t="s">
        <v>554</v>
      </c>
      <c r="G145" s="43" t="s">
        <v>534</v>
      </c>
      <c r="H145" s="3">
        <v>46223</v>
      </c>
      <c r="I145" s="3">
        <v>46224</v>
      </c>
    </row>
    <row r="146" spans="1:21" x14ac:dyDescent="0.35">
      <c r="A146">
        <v>150</v>
      </c>
      <c r="B146">
        <v>110</v>
      </c>
      <c r="C146" t="s">
        <v>448</v>
      </c>
      <c r="F146" t="s">
        <v>554</v>
      </c>
      <c r="G146" s="43" t="s">
        <v>534</v>
      </c>
      <c r="H146" s="3">
        <v>46223</v>
      </c>
      <c r="I146" s="3">
        <v>46224</v>
      </c>
    </row>
    <row r="147" spans="1:21" x14ac:dyDescent="0.35">
      <c r="A147">
        <v>151</v>
      </c>
      <c r="B147">
        <v>112</v>
      </c>
      <c r="C147" t="s">
        <v>484</v>
      </c>
      <c r="F147" t="s">
        <v>554</v>
      </c>
      <c r="G147" s="43" t="s">
        <v>534</v>
      </c>
      <c r="H147" s="3">
        <v>46223</v>
      </c>
      <c r="I147" s="3">
        <v>46224</v>
      </c>
    </row>
    <row r="148" spans="1:21" x14ac:dyDescent="0.35">
      <c r="A148">
        <v>152</v>
      </c>
      <c r="B148">
        <v>97</v>
      </c>
      <c r="C148" t="s">
        <v>37</v>
      </c>
      <c r="F148" t="s">
        <v>554</v>
      </c>
      <c r="G148" s="43" t="s">
        <v>534</v>
      </c>
      <c r="H148" s="3">
        <v>46223</v>
      </c>
      <c r="I148" s="3">
        <v>46224</v>
      </c>
    </row>
    <row r="149" spans="1:21" x14ac:dyDescent="0.35">
      <c r="A149">
        <v>153</v>
      </c>
      <c r="B149">
        <v>113</v>
      </c>
      <c r="C149" t="s">
        <v>30</v>
      </c>
      <c r="F149" t="s">
        <v>540</v>
      </c>
      <c r="G149" s="43" t="s">
        <v>534</v>
      </c>
      <c r="H149" s="3">
        <v>46223</v>
      </c>
      <c r="I149" s="3">
        <v>46224</v>
      </c>
    </row>
    <row r="150" spans="1:21" x14ac:dyDescent="0.35">
      <c r="A150">
        <v>154</v>
      </c>
      <c r="B150">
        <v>114</v>
      </c>
      <c r="C150" t="s">
        <v>37</v>
      </c>
      <c r="F150" t="s">
        <v>554</v>
      </c>
      <c r="G150" s="43" t="s">
        <v>534</v>
      </c>
      <c r="H150" s="3">
        <v>46223</v>
      </c>
      <c r="I150" s="3">
        <v>46224</v>
      </c>
    </row>
    <row r="151" spans="1:21" x14ac:dyDescent="0.35">
      <c r="A151">
        <v>155</v>
      </c>
      <c r="B151">
        <v>116</v>
      </c>
      <c r="C151" t="s">
        <v>23</v>
      </c>
      <c r="F151" t="s">
        <v>540</v>
      </c>
      <c r="G151" s="43" t="s">
        <v>534</v>
      </c>
      <c r="H151" s="3">
        <v>46223</v>
      </c>
      <c r="I151" s="3">
        <v>46224</v>
      </c>
    </row>
    <row r="152" spans="1:21" x14ac:dyDescent="0.35">
      <c r="A152">
        <v>156</v>
      </c>
      <c r="B152">
        <v>117</v>
      </c>
      <c r="C152" t="s">
        <v>54</v>
      </c>
      <c r="F152" t="s">
        <v>540</v>
      </c>
      <c r="G152" t="s">
        <v>583</v>
      </c>
      <c r="H152" s="3">
        <v>46223</v>
      </c>
      <c r="I152" s="3">
        <v>46224</v>
      </c>
    </row>
    <row r="153" spans="1:21" x14ac:dyDescent="0.35">
      <c r="A153">
        <v>157</v>
      </c>
      <c r="B153">
        <v>118</v>
      </c>
      <c r="C153" t="s">
        <v>42</v>
      </c>
      <c r="D153" t="s">
        <v>584</v>
      </c>
      <c r="F153" t="s">
        <v>585</v>
      </c>
      <c r="G153" t="s">
        <v>586</v>
      </c>
      <c r="H153" s="3">
        <v>46223</v>
      </c>
      <c r="I153" s="3">
        <v>46224</v>
      </c>
    </row>
    <row r="154" spans="1:21" x14ac:dyDescent="0.35">
      <c r="A154">
        <v>158</v>
      </c>
      <c r="B154">
        <v>120</v>
      </c>
      <c r="C154" t="s">
        <v>12</v>
      </c>
      <c r="F154" t="s">
        <v>540</v>
      </c>
      <c r="G154" s="43" t="s">
        <v>112</v>
      </c>
      <c r="H154" s="3"/>
      <c r="I154" s="3">
        <v>46225</v>
      </c>
    </row>
    <row r="155" spans="1:21" x14ac:dyDescent="0.35">
      <c r="A155">
        <v>159</v>
      </c>
      <c r="B155">
        <v>119</v>
      </c>
      <c r="C155" t="s">
        <v>393</v>
      </c>
      <c r="F155" t="s">
        <v>554</v>
      </c>
      <c r="G155" s="43" t="s">
        <v>560</v>
      </c>
      <c r="H155" s="3"/>
      <c r="I155" s="3">
        <v>46225</v>
      </c>
    </row>
    <row r="156" spans="1:21" x14ac:dyDescent="0.35">
      <c r="A156">
        <v>160</v>
      </c>
      <c r="B156">
        <v>124</v>
      </c>
      <c r="C156" t="s">
        <v>37</v>
      </c>
      <c r="F156" t="s">
        <v>554</v>
      </c>
      <c r="G156" s="43" t="s">
        <v>560</v>
      </c>
      <c r="H156" s="3"/>
      <c r="I156" s="3">
        <v>46225</v>
      </c>
    </row>
    <row r="157" spans="1:21" x14ac:dyDescent="0.35">
      <c r="A157">
        <v>161</v>
      </c>
      <c r="B157">
        <v>121</v>
      </c>
      <c r="C157" t="s">
        <v>477</v>
      </c>
      <c r="F157" t="s">
        <v>554</v>
      </c>
      <c r="G157" s="43" t="s">
        <v>534</v>
      </c>
      <c r="I157" s="3">
        <v>46225</v>
      </c>
    </row>
    <row r="158" spans="1:21" ht="43.5" x14ac:dyDescent="0.35">
      <c r="A158">
        <v>162</v>
      </c>
      <c r="B158">
        <v>127</v>
      </c>
      <c r="C158" t="s">
        <v>37</v>
      </c>
      <c r="F158" t="s">
        <v>540</v>
      </c>
      <c r="G158" s="43" t="s">
        <v>112</v>
      </c>
      <c r="I158" s="3">
        <v>46226</v>
      </c>
      <c r="M158">
        <v>162</v>
      </c>
      <c r="N158">
        <v>122</v>
      </c>
      <c r="O158" t="s">
        <v>295</v>
      </c>
      <c r="R158" t="s">
        <v>554</v>
      </c>
      <c r="S158" s="43" t="s">
        <v>583</v>
      </c>
      <c r="U158" s="3">
        <v>46225</v>
      </c>
    </row>
    <row r="159" spans="1:21" ht="43.5" x14ac:dyDescent="0.35">
      <c r="A159">
        <v>163</v>
      </c>
      <c r="B159">
        <v>128</v>
      </c>
      <c r="C159" t="s">
        <v>12</v>
      </c>
      <c r="E159" t="s">
        <v>587</v>
      </c>
      <c r="F159" t="s">
        <v>588</v>
      </c>
      <c r="G159" s="43" t="s">
        <v>560</v>
      </c>
      <c r="I159" s="3">
        <v>46226</v>
      </c>
      <c r="M159">
        <v>163</v>
      </c>
      <c r="N159">
        <v>123</v>
      </c>
      <c r="O159" t="s">
        <v>54</v>
      </c>
      <c r="R159" t="s">
        <v>554</v>
      </c>
      <c r="S159" s="43" t="s">
        <v>583</v>
      </c>
      <c r="U159" s="3">
        <v>46225</v>
      </c>
    </row>
    <row r="160" spans="1:21" ht="29" x14ac:dyDescent="0.35">
      <c r="A160">
        <v>164</v>
      </c>
      <c r="B160">
        <v>129</v>
      </c>
      <c r="C160" t="s">
        <v>30</v>
      </c>
      <c r="F160" t="s">
        <v>540</v>
      </c>
      <c r="G160" s="43" t="s">
        <v>112</v>
      </c>
      <c r="I160" s="3">
        <v>46226</v>
      </c>
      <c r="M160">
        <v>164</v>
      </c>
      <c r="N160">
        <v>125</v>
      </c>
      <c r="O160" t="s">
        <v>295</v>
      </c>
      <c r="R160" t="s">
        <v>554</v>
      </c>
      <c r="S160" s="43" t="s">
        <v>534</v>
      </c>
      <c r="U160" s="3">
        <v>46225</v>
      </c>
    </row>
    <row r="161" spans="1:21" ht="29" x14ac:dyDescent="0.35">
      <c r="A161">
        <v>165</v>
      </c>
      <c r="B161">
        <v>131</v>
      </c>
      <c r="C161" t="s">
        <v>295</v>
      </c>
      <c r="F161" t="s">
        <v>540</v>
      </c>
      <c r="G161" s="43" t="s">
        <v>112</v>
      </c>
      <c r="I161" s="3">
        <v>46227</v>
      </c>
      <c r="M161">
        <v>165</v>
      </c>
      <c r="N161">
        <v>126</v>
      </c>
      <c r="O161" t="s">
        <v>295</v>
      </c>
      <c r="R161" t="s">
        <v>554</v>
      </c>
      <c r="S161" s="43" t="s">
        <v>534</v>
      </c>
      <c r="U161" s="3">
        <v>46225</v>
      </c>
    </row>
    <row r="162" spans="1:21" x14ac:dyDescent="0.35">
      <c r="A162">
        <v>166</v>
      </c>
      <c r="B162">
        <v>132</v>
      </c>
      <c r="C162" t="s">
        <v>589</v>
      </c>
      <c r="F162" t="s">
        <v>540</v>
      </c>
      <c r="G162" s="43" t="s">
        <v>112</v>
      </c>
      <c r="I162" s="3">
        <v>46227</v>
      </c>
    </row>
    <row r="163" spans="1:21" x14ac:dyDescent="0.35">
      <c r="A163">
        <v>167</v>
      </c>
      <c r="B163">
        <v>133</v>
      </c>
      <c r="C163" t="s">
        <v>30</v>
      </c>
      <c r="F163" t="s">
        <v>540</v>
      </c>
      <c r="G163" s="43" t="s">
        <v>534</v>
      </c>
      <c r="I163" s="3">
        <v>46228</v>
      </c>
    </row>
    <row r="164" spans="1:21" x14ac:dyDescent="0.35">
      <c r="A164">
        <v>168</v>
      </c>
      <c r="B164">
        <v>134</v>
      </c>
      <c r="C164" t="s">
        <v>393</v>
      </c>
      <c r="F164" t="s">
        <v>554</v>
      </c>
      <c r="G164" s="43" t="s">
        <v>560</v>
      </c>
      <c r="I164" s="3">
        <v>46228</v>
      </c>
    </row>
    <row r="165" spans="1:21" x14ac:dyDescent="0.35">
      <c r="A165">
        <v>169</v>
      </c>
      <c r="B165">
        <v>139</v>
      </c>
      <c r="C165" t="s">
        <v>470</v>
      </c>
      <c r="F165" t="s">
        <v>590</v>
      </c>
      <c r="G165" s="43" t="s">
        <v>283</v>
      </c>
      <c r="I165" s="3">
        <v>46230</v>
      </c>
    </row>
    <row r="166" spans="1:21" x14ac:dyDescent="0.35">
      <c r="A166">
        <v>170</v>
      </c>
      <c r="B166">
        <v>140</v>
      </c>
      <c r="C166" t="s">
        <v>12</v>
      </c>
      <c r="F166" t="s">
        <v>540</v>
      </c>
      <c r="G166" s="43" t="s">
        <v>591</v>
      </c>
      <c r="I166" s="3">
        <v>46230</v>
      </c>
    </row>
    <row r="167" spans="1:21" x14ac:dyDescent="0.35">
      <c r="A167">
        <v>171</v>
      </c>
      <c r="B167">
        <v>141</v>
      </c>
      <c r="C167" t="s">
        <v>49</v>
      </c>
      <c r="F167" t="s">
        <v>281</v>
      </c>
      <c r="G167" s="43" t="s">
        <v>534</v>
      </c>
      <c r="H167" s="3">
        <v>46228</v>
      </c>
      <c r="I167" s="3">
        <v>46230</v>
      </c>
    </row>
    <row r="168" spans="1:21" x14ac:dyDescent="0.35">
      <c r="A168">
        <v>172</v>
      </c>
      <c r="B168">
        <v>142</v>
      </c>
      <c r="C168" t="s">
        <v>434</v>
      </c>
      <c r="F168" t="s">
        <v>281</v>
      </c>
      <c r="G168" s="43" t="s">
        <v>534</v>
      </c>
      <c r="H168" s="3">
        <v>46228</v>
      </c>
      <c r="I168" s="3">
        <v>46230</v>
      </c>
    </row>
    <row r="169" spans="1:21" x14ac:dyDescent="0.35">
      <c r="A169">
        <v>173</v>
      </c>
      <c r="B169">
        <v>151</v>
      </c>
      <c r="C169" t="s">
        <v>54</v>
      </c>
      <c r="F169" t="s">
        <v>540</v>
      </c>
      <c r="G169" s="43" t="s">
        <v>112</v>
      </c>
      <c r="I169" s="3">
        <v>46230</v>
      </c>
    </row>
    <row r="170" spans="1:21" x14ac:dyDescent="0.35">
      <c r="A170">
        <v>174</v>
      </c>
      <c r="B170">
        <v>510</v>
      </c>
      <c r="C170" t="s">
        <v>37</v>
      </c>
      <c r="F170" t="s">
        <v>554</v>
      </c>
      <c r="G170" s="43" t="s">
        <v>560</v>
      </c>
      <c r="I170" s="3">
        <v>46232</v>
      </c>
    </row>
    <row r="171" spans="1:21" x14ac:dyDescent="0.35">
      <c r="A171">
        <v>175</v>
      </c>
      <c r="B171">
        <v>17273</v>
      </c>
      <c r="C171" t="s">
        <v>23</v>
      </c>
      <c r="F171" t="s">
        <v>554</v>
      </c>
      <c r="G171" s="43" t="s">
        <v>560</v>
      </c>
      <c r="I171" s="3">
        <v>46237</v>
      </c>
    </row>
    <row r="172" spans="1:21" x14ac:dyDescent="0.35">
      <c r="A172">
        <v>176</v>
      </c>
      <c r="B172">
        <v>17275</v>
      </c>
      <c r="C172" t="s">
        <v>393</v>
      </c>
      <c r="F172" t="s">
        <v>540</v>
      </c>
      <c r="G172" s="43" t="s">
        <v>9</v>
      </c>
      <c r="I172" s="3">
        <v>46237</v>
      </c>
    </row>
    <row r="173" spans="1:21" x14ac:dyDescent="0.35">
      <c r="A173">
        <v>177</v>
      </c>
      <c r="B173">
        <v>191</v>
      </c>
      <c r="C173" t="s">
        <v>37</v>
      </c>
      <c r="F173" t="s">
        <v>554</v>
      </c>
      <c r="G173" s="43" t="s">
        <v>560</v>
      </c>
      <c r="I173" s="3">
        <v>46239</v>
      </c>
    </row>
    <row r="174" spans="1:21" x14ac:dyDescent="0.35">
      <c r="A174">
        <v>178</v>
      </c>
      <c r="B174">
        <v>192</v>
      </c>
      <c r="C174" t="s">
        <v>37</v>
      </c>
      <c r="F174" t="s">
        <v>554</v>
      </c>
      <c r="G174" s="43" t="s">
        <v>560</v>
      </c>
      <c r="I174" s="3">
        <v>46239</v>
      </c>
    </row>
    <row r="175" spans="1:21" x14ac:dyDescent="0.35">
      <c r="A175">
        <v>179</v>
      </c>
      <c r="B175">
        <v>193</v>
      </c>
      <c r="C175" t="s">
        <v>37</v>
      </c>
      <c r="F175" t="s">
        <v>554</v>
      </c>
      <c r="G175" s="43" t="s">
        <v>560</v>
      </c>
      <c r="I175" s="3">
        <v>46239</v>
      </c>
    </row>
    <row r="176" spans="1:21" x14ac:dyDescent="0.35">
      <c r="A176">
        <v>180</v>
      </c>
      <c r="B176">
        <v>194</v>
      </c>
      <c r="C176" t="s">
        <v>37</v>
      </c>
      <c r="F176" t="s">
        <v>554</v>
      </c>
      <c r="G176" s="43" t="s">
        <v>560</v>
      </c>
      <c r="I176" s="3">
        <v>46239</v>
      </c>
    </row>
    <row r="177" spans="1:9" x14ac:dyDescent="0.35">
      <c r="A177">
        <v>181</v>
      </c>
      <c r="B177">
        <v>195</v>
      </c>
      <c r="C177" t="s">
        <v>37</v>
      </c>
      <c r="F177" t="s">
        <v>554</v>
      </c>
      <c r="G177" s="43" t="s">
        <v>560</v>
      </c>
      <c r="I177" s="3">
        <v>46239</v>
      </c>
    </row>
    <row r="178" spans="1:9" x14ac:dyDescent="0.35">
      <c r="A178">
        <v>182</v>
      </c>
      <c r="B178">
        <v>196</v>
      </c>
      <c r="C178" t="s">
        <v>12</v>
      </c>
      <c r="F178" t="s">
        <v>592</v>
      </c>
      <c r="G178" s="43" t="s">
        <v>112</v>
      </c>
      <c r="I178" s="3">
        <v>46239</v>
      </c>
    </row>
    <row r="179" spans="1:9" x14ac:dyDescent="0.35">
      <c r="A179">
        <v>183</v>
      </c>
      <c r="B179">
        <v>198</v>
      </c>
      <c r="C179" t="s">
        <v>393</v>
      </c>
      <c r="F179" t="s">
        <v>554</v>
      </c>
      <c r="G179" s="43" t="s">
        <v>560</v>
      </c>
      <c r="I179" s="3">
        <v>46240</v>
      </c>
    </row>
    <row r="180" spans="1:9" x14ac:dyDescent="0.35">
      <c r="A180">
        <v>184</v>
      </c>
      <c r="B180">
        <v>199</v>
      </c>
      <c r="C180" t="s">
        <v>393</v>
      </c>
      <c r="F180" t="s">
        <v>554</v>
      </c>
      <c r="G180" s="43" t="s">
        <v>560</v>
      </c>
      <c r="I180" s="3">
        <v>46240</v>
      </c>
    </row>
    <row r="181" spans="1:9" x14ac:dyDescent="0.35">
      <c r="A181">
        <v>185</v>
      </c>
      <c r="B181">
        <v>200</v>
      </c>
      <c r="C181" t="s">
        <v>393</v>
      </c>
      <c r="F181" t="s">
        <v>554</v>
      </c>
      <c r="G181" s="43" t="s">
        <v>560</v>
      </c>
      <c r="I181" s="3">
        <v>46240</v>
      </c>
    </row>
    <row r="182" spans="1:9" x14ac:dyDescent="0.35">
      <c r="A182">
        <v>186</v>
      </c>
      <c r="B182">
        <v>201</v>
      </c>
      <c r="C182" t="s">
        <v>393</v>
      </c>
      <c r="F182" t="s">
        <v>554</v>
      </c>
      <c r="G182" s="43" t="s">
        <v>560</v>
      </c>
      <c r="I182" s="3">
        <v>46240</v>
      </c>
    </row>
    <row r="183" spans="1:9" x14ac:dyDescent="0.35">
      <c r="A183">
        <v>187</v>
      </c>
      <c r="B183">
        <v>202</v>
      </c>
      <c r="C183" t="s">
        <v>30</v>
      </c>
      <c r="F183" t="s">
        <v>98</v>
      </c>
      <c r="G183" s="43" t="s">
        <v>112</v>
      </c>
      <c r="I183" s="3">
        <v>46240</v>
      </c>
    </row>
    <row r="184" spans="1:9" x14ac:dyDescent="0.35">
      <c r="A184">
        <v>188</v>
      </c>
      <c r="B184">
        <v>203</v>
      </c>
      <c r="C184" t="s">
        <v>593</v>
      </c>
      <c r="F184" t="s">
        <v>554</v>
      </c>
      <c r="G184" s="43" t="s">
        <v>560</v>
      </c>
      <c r="I184" s="3">
        <v>46240</v>
      </c>
    </row>
    <row r="185" spans="1:9" x14ac:dyDescent="0.35">
      <c r="A185">
        <v>189</v>
      </c>
      <c r="B185">
        <v>204</v>
      </c>
      <c r="C185" t="s">
        <v>37</v>
      </c>
      <c r="F185" t="s">
        <v>554</v>
      </c>
      <c r="G185" s="43" t="s">
        <v>560</v>
      </c>
      <c r="I185" s="3">
        <v>46240</v>
      </c>
    </row>
    <row r="186" spans="1:9" x14ac:dyDescent="0.35">
      <c r="A186">
        <v>190</v>
      </c>
      <c r="B186">
        <v>212</v>
      </c>
      <c r="C186" t="s">
        <v>54</v>
      </c>
      <c r="F186" t="s">
        <v>540</v>
      </c>
      <c r="G186" s="43" t="s">
        <v>112</v>
      </c>
      <c r="I186" s="3">
        <v>46241</v>
      </c>
    </row>
    <row r="187" spans="1:9" x14ac:dyDescent="0.35">
      <c r="A187">
        <v>191</v>
      </c>
      <c r="B187">
        <v>213</v>
      </c>
      <c r="C187" t="s">
        <v>54</v>
      </c>
      <c r="F187" t="s">
        <v>540</v>
      </c>
      <c r="G187" s="43" t="s">
        <v>112</v>
      </c>
      <c r="I187" s="3">
        <v>46241</v>
      </c>
    </row>
    <row r="188" spans="1:9" x14ac:dyDescent="0.35">
      <c r="A188">
        <v>192</v>
      </c>
      <c r="B188">
        <v>214</v>
      </c>
      <c r="C188" t="s">
        <v>594</v>
      </c>
      <c r="F188" t="s">
        <v>554</v>
      </c>
      <c r="G188" s="43" t="s">
        <v>560</v>
      </c>
      <c r="I188" s="3">
        <v>46241</v>
      </c>
    </row>
    <row r="189" spans="1:9" x14ac:dyDescent="0.35">
      <c r="A189">
        <v>193</v>
      </c>
      <c r="B189">
        <v>215</v>
      </c>
      <c r="C189" t="s">
        <v>73</v>
      </c>
      <c r="F189" t="s">
        <v>554</v>
      </c>
      <c r="G189" s="43" t="s">
        <v>560</v>
      </c>
      <c r="I189" s="3">
        <v>46241</v>
      </c>
    </row>
    <row r="190" spans="1:9" x14ac:dyDescent="0.35">
      <c r="A190">
        <v>194</v>
      </c>
      <c r="B190">
        <v>216</v>
      </c>
      <c r="C190" t="s">
        <v>73</v>
      </c>
      <c r="F190" t="s">
        <v>554</v>
      </c>
      <c r="G190" s="43" t="s">
        <v>560</v>
      </c>
      <c r="I190" s="3">
        <v>46241</v>
      </c>
    </row>
    <row r="191" spans="1:9" x14ac:dyDescent="0.35">
      <c r="A191">
        <v>195</v>
      </c>
      <c r="B191">
        <v>217</v>
      </c>
      <c r="C191" t="s">
        <v>393</v>
      </c>
      <c r="F191" t="s">
        <v>554</v>
      </c>
      <c r="G191" s="43" t="s">
        <v>560</v>
      </c>
      <c r="I191" s="3">
        <v>46241</v>
      </c>
    </row>
    <row r="192" spans="1:9" x14ac:dyDescent="0.35">
      <c r="A192">
        <v>196</v>
      </c>
      <c r="B192">
        <v>218</v>
      </c>
      <c r="C192" t="s">
        <v>69</v>
      </c>
      <c r="F192" t="s">
        <v>540</v>
      </c>
      <c r="G192" s="43" t="s">
        <v>595</v>
      </c>
      <c r="I192" s="3">
        <v>46241</v>
      </c>
    </row>
    <row r="193" spans="1:11" x14ac:dyDescent="0.35">
      <c r="A193">
        <v>197</v>
      </c>
      <c r="B193">
        <v>220</v>
      </c>
      <c r="C193" t="s">
        <v>69</v>
      </c>
      <c r="F193" t="s">
        <v>554</v>
      </c>
      <c r="G193" s="43" t="s">
        <v>560</v>
      </c>
      <c r="I193" s="3">
        <v>46241</v>
      </c>
      <c r="K193">
        <v>25</v>
      </c>
    </row>
    <row r="194" spans="1:11" x14ac:dyDescent="0.35">
      <c r="A194">
        <v>198</v>
      </c>
      <c r="C194" t="s">
        <v>393</v>
      </c>
      <c r="F194" t="s">
        <v>554</v>
      </c>
      <c r="G194" s="43" t="s">
        <v>560</v>
      </c>
      <c r="I194" s="3">
        <v>46242</v>
      </c>
      <c r="K194">
        <f>K193-6</f>
        <v>19</v>
      </c>
    </row>
    <row r="195" spans="1:11" x14ac:dyDescent="0.35">
      <c r="A195">
        <v>199</v>
      </c>
      <c r="C195" t="s">
        <v>393</v>
      </c>
      <c r="F195" t="s">
        <v>554</v>
      </c>
      <c r="G195" s="43" t="s">
        <v>560</v>
      </c>
      <c r="I195" s="3">
        <v>46242</v>
      </c>
    </row>
    <row r="196" spans="1:11" x14ac:dyDescent="0.35">
      <c r="A196">
        <v>200</v>
      </c>
      <c r="C196" t="s">
        <v>393</v>
      </c>
      <c r="F196" t="s">
        <v>554</v>
      </c>
      <c r="G196" s="43" t="s">
        <v>560</v>
      </c>
      <c r="I196" s="3">
        <v>46242</v>
      </c>
    </row>
    <row r="197" spans="1:11" x14ac:dyDescent="0.35">
      <c r="A197">
        <v>201</v>
      </c>
      <c r="C197" t="s">
        <v>393</v>
      </c>
      <c r="F197" t="s">
        <v>554</v>
      </c>
      <c r="G197" s="43" t="s">
        <v>560</v>
      </c>
      <c r="I197" s="3">
        <v>46242</v>
      </c>
    </row>
    <row r="198" spans="1:11" x14ac:dyDescent="0.35">
      <c r="A198">
        <v>202</v>
      </c>
      <c r="C198" t="s">
        <v>393</v>
      </c>
      <c r="F198" t="s">
        <v>554</v>
      </c>
      <c r="G198" s="43" t="s">
        <v>560</v>
      </c>
      <c r="I198" s="3">
        <v>46242</v>
      </c>
    </row>
    <row r="199" spans="1:11" x14ac:dyDescent="0.35">
      <c r="A199">
        <v>203</v>
      </c>
      <c r="C199" t="s">
        <v>393</v>
      </c>
      <c r="F199" t="s">
        <v>554</v>
      </c>
      <c r="G199" s="43" t="s">
        <v>560</v>
      </c>
      <c r="I199" s="3">
        <v>46242</v>
      </c>
    </row>
    <row r="200" spans="1:11" x14ac:dyDescent="0.35">
      <c r="A200">
        <v>204</v>
      </c>
      <c r="C200" t="s">
        <v>23</v>
      </c>
      <c r="F200" t="s">
        <v>554</v>
      </c>
      <c r="G200" s="43" t="s">
        <v>560</v>
      </c>
      <c r="I200" s="3">
        <v>46242</v>
      </c>
    </row>
    <row r="201" spans="1:11" x14ac:dyDescent="0.35">
      <c r="A201">
        <v>205</v>
      </c>
      <c r="C201" t="s">
        <v>37</v>
      </c>
      <c r="F201" t="s">
        <v>554</v>
      </c>
      <c r="G201" s="43" t="s">
        <v>560</v>
      </c>
      <c r="I201" s="3">
        <v>46242</v>
      </c>
    </row>
    <row r="202" spans="1:11" x14ac:dyDescent="0.35">
      <c r="A202">
        <v>206</v>
      </c>
      <c r="C202" t="s">
        <v>73</v>
      </c>
      <c r="F202" t="s">
        <v>554</v>
      </c>
      <c r="G202" s="43" t="s">
        <v>560</v>
      </c>
      <c r="I202" s="3">
        <v>46242</v>
      </c>
    </row>
    <row r="203" spans="1:11" x14ac:dyDescent="0.35">
      <c r="A203">
        <v>207</v>
      </c>
      <c r="C203" t="s">
        <v>73</v>
      </c>
      <c r="F203" t="s">
        <v>554</v>
      </c>
      <c r="G203" s="43" t="s">
        <v>560</v>
      </c>
      <c r="I203" s="3">
        <v>46242</v>
      </c>
    </row>
    <row r="204" spans="1:11" x14ac:dyDescent="0.35">
      <c r="A204">
        <v>208</v>
      </c>
      <c r="C204" t="s">
        <v>434</v>
      </c>
      <c r="F204" t="s">
        <v>554</v>
      </c>
      <c r="G204" s="43" t="s">
        <v>560</v>
      </c>
      <c r="I204" s="3">
        <v>46242</v>
      </c>
    </row>
    <row r="205" spans="1:11" x14ac:dyDescent="0.35">
      <c r="A205">
        <v>209</v>
      </c>
      <c r="C205" t="s">
        <v>393</v>
      </c>
      <c r="F205" t="s">
        <v>554</v>
      </c>
      <c r="G205" s="43" t="s">
        <v>560</v>
      </c>
      <c r="I205" s="3">
        <v>46244</v>
      </c>
    </row>
    <row r="206" spans="1:11" x14ac:dyDescent="0.35">
      <c r="A206">
        <v>210</v>
      </c>
      <c r="C206" t="s">
        <v>393</v>
      </c>
      <c r="F206" t="s">
        <v>554</v>
      </c>
      <c r="G206" s="43" t="s">
        <v>560</v>
      </c>
      <c r="I206" s="3">
        <v>46244</v>
      </c>
    </row>
    <row r="207" spans="1:11" x14ac:dyDescent="0.35">
      <c r="A207">
        <v>211</v>
      </c>
      <c r="C207" t="s">
        <v>393</v>
      </c>
      <c r="F207" t="s">
        <v>554</v>
      </c>
      <c r="G207" s="43" t="s">
        <v>560</v>
      </c>
      <c r="I207" s="3">
        <v>46244</v>
      </c>
    </row>
    <row r="208" spans="1:11" x14ac:dyDescent="0.35">
      <c r="A208">
        <v>212</v>
      </c>
      <c r="C208" t="s">
        <v>23</v>
      </c>
      <c r="F208" t="s">
        <v>554</v>
      </c>
      <c r="G208" s="43" t="s">
        <v>560</v>
      </c>
      <c r="I208" s="3">
        <v>46244</v>
      </c>
    </row>
    <row r="209" spans="1:9" x14ac:dyDescent="0.35">
      <c r="A209">
        <v>213</v>
      </c>
      <c r="C209" t="s">
        <v>73</v>
      </c>
      <c r="F209" t="s">
        <v>554</v>
      </c>
      <c r="G209" s="43" t="s">
        <v>560</v>
      </c>
      <c r="I209" s="3">
        <v>46245</v>
      </c>
    </row>
    <row r="210" spans="1:9" x14ac:dyDescent="0.35">
      <c r="A210">
        <v>214</v>
      </c>
      <c r="C210" t="s">
        <v>73</v>
      </c>
      <c r="F210" t="s">
        <v>554</v>
      </c>
      <c r="G210" s="43" t="s">
        <v>560</v>
      </c>
      <c r="I210" s="3">
        <v>46245</v>
      </c>
    </row>
    <row r="211" spans="1:9" x14ac:dyDescent="0.35">
      <c r="A211">
        <v>215</v>
      </c>
      <c r="C211" t="s">
        <v>451</v>
      </c>
      <c r="F211" t="s">
        <v>554</v>
      </c>
      <c r="G211" s="43" t="s">
        <v>560</v>
      </c>
      <c r="I211" s="3">
        <v>46245</v>
      </c>
    </row>
    <row r="212" spans="1:9" x14ac:dyDescent="0.35">
      <c r="A212">
        <v>216</v>
      </c>
      <c r="C212" t="s">
        <v>37</v>
      </c>
      <c r="F212" t="s">
        <v>554</v>
      </c>
      <c r="G212" s="43" t="s">
        <v>560</v>
      </c>
      <c r="I212" s="3">
        <v>46245</v>
      </c>
    </row>
    <row r="213" spans="1:9" x14ac:dyDescent="0.35">
      <c r="A213">
        <v>217</v>
      </c>
      <c r="C213" t="s">
        <v>35</v>
      </c>
      <c r="F213" t="s">
        <v>554</v>
      </c>
      <c r="G213" s="43" t="s">
        <v>560</v>
      </c>
      <c r="I213" s="3">
        <v>46245</v>
      </c>
    </row>
    <row r="214" spans="1:9" ht="29" x14ac:dyDescent="0.35">
      <c r="A214">
        <v>218</v>
      </c>
      <c r="C214" t="s">
        <v>12</v>
      </c>
      <c r="F214" t="s">
        <v>588</v>
      </c>
      <c r="G214" s="43" t="s">
        <v>596</v>
      </c>
      <c r="I214" s="3">
        <v>46245</v>
      </c>
    </row>
    <row r="215" spans="1:9" ht="29" x14ac:dyDescent="0.35">
      <c r="A215">
        <v>219</v>
      </c>
      <c r="C215" t="s">
        <v>452</v>
      </c>
      <c r="F215" t="s">
        <v>588</v>
      </c>
      <c r="G215" s="43" t="s">
        <v>596</v>
      </c>
      <c r="I215" s="3">
        <v>46245</v>
      </c>
    </row>
    <row r="216" spans="1:9" x14ac:dyDescent="0.35">
      <c r="A216">
        <v>220</v>
      </c>
      <c r="C216" t="s">
        <v>31</v>
      </c>
      <c r="F216" t="s">
        <v>540</v>
      </c>
      <c r="G216" s="43" t="s">
        <v>112</v>
      </c>
      <c r="I216" s="3">
        <v>46245</v>
      </c>
    </row>
    <row r="217" spans="1:9" x14ac:dyDescent="0.35">
      <c r="A217">
        <v>221</v>
      </c>
      <c r="C217" t="s">
        <v>393</v>
      </c>
      <c r="F217" t="s">
        <v>554</v>
      </c>
      <c r="G217" s="43" t="s">
        <v>560</v>
      </c>
      <c r="I217" s="3">
        <v>46246</v>
      </c>
    </row>
    <row r="218" spans="1:9" x14ac:dyDescent="0.35">
      <c r="A218">
        <v>222</v>
      </c>
      <c r="C218" t="s">
        <v>393</v>
      </c>
      <c r="F218" t="s">
        <v>554</v>
      </c>
      <c r="G218" s="43" t="s">
        <v>560</v>
      </c>
      <c r="I218" s="3">
        <v>46246</v>
      </c>
    </row>
    <row r="219" spans="1:9" x14ac:dyDescent="0.35">
      <c r="A219">
        <v>223</v>
      </c>
      <c r="C219" t="s">
        <v>393</v>
      </c>
      <c r="F219" t="s">
        <v>554</v>
      </c>
      <c r="G219" s="43" t="s">
        <v>560</v>
      </c>
      <c r="I219" s="3">
        <v>46246</v>
      </c>
    </row>
    <row r="220" spans="1:9" x14ac:dyDescent="0.35">
      <c r="A220">
        <v>224</v>
      </c>
      <c r="C220" t="s">
        <v>393</v>
      </c>
      <c r="F220" t="s">
        <v>554</v>
      </c>
      <c r="G220" s="43" t="s">
        <v>560</v>
      </c>
      <c r="I220" s="3">
        <v>46246</v>
      </c>
    </row>
    <row r="221" spans="1:9" x14ac:dyDescent="0.35">
      <c r="A221">
        <v>225</v>
      </c>
      <c r="C221" t="s">
        <v>393</v>
      </c>
      <c r="F221" t="s">
        <v>554</v>
      </c>
      <c r="G221" s="43" t="s">
        <v>560</v>
      </c>
      <c r="I221" s="3">
        <v>46246</v>
      </c>
    </row>
    <row r="222" spans="1:9" x14ac:dyDescent="0.35">
      <c r="A222">
        <v>226</v>
      </c>
      <c r="C222" t="s">
        <v>31</v>
      </c>
      <c r="F222" t="s">
        <v>554</v>
      </c>
      <c r="G222" s="43" t="s">
        <v>560</v>
      </c>
      <c r="I222" s="3">
        <v>46246</v>
      </c>
    </row>
    <row r="223" spans="1:9" x14ac:dyDescent="0.35">
      <c r="A223">
        <v>227</v>
      </c>
      <c r="C223" t="s">
        <v>69</v>
      </c>
      <c r="F223" t="s">
        <v>554</v>
      </c>
      <c r="G223" s="43" t="s">
        <v>560</v>
      </c>
      <c r="I223" s="3">
        <v>46246</v>
      </c>
    </row>
    <row r="224" spans="1:9" x14ac:dyDescent="0.35">
      <c r="A224">
        <v>228</v>
      </c>
      <c r="C224" t="s">
        <v>69</v>
      </c>
      <c r="F224" t="s">
        <v>554</v>
      </c>
      <c r="G224" s="43" t="s">
        <v>560</v>
      </c>
      <c r="I224" s="3">
        <v>46246</v>
      </c>
    </row>
    <row r="225" spans="1:9" x14ac:dyDescent="0.35">
      <c r="A225">
        <f>+A224+1</f>
        <v>229</v>
      </c>
      <c r="C225" t="s">
        <v>597</v>
      </c>
      <c r="F225" t="s">
        <v>554</v>
      </c>
      <c r="G225" s="43" t="s">
        <v>560</v>
      </c>
      <c r="I225" s="3">
        <v>46246</v>
      </c>
    </row>
    <row r="226" spans="1:9" x14ac:dyDescent="0.35">
      <c r="A226">
        <f>+A225+1</f>
        <v>230</v>
      </c>
      <c r="C226" t="s">
        <v>598</v>
      </c>
      <c r="F226" t="s">
        <v>540</v>
      </c>
      <c r="G226" s="43" t="s">
        <v>248</v>
      </c>
      <c r="I226" s="3">
        <v>46246</v>
      </c>
    </row>
    <row r="227" spans="1:9" x14ac:dyDescent="0.35">
      <c r="A227">
        <v>229</v>
      </c>
      <c r="C227" t="s">
        <v>470</v>
      </c>
      <c r="F227" t="s">
        <v>540</v>
      </c>
      <c r="G227" s="43" t="s">
        <v>112</v>
      </c>
      <c r="I227" s="3">
        <v>46260</v>
      </c>
    </row>
    <row r="228" spans="1:9" x14ac:dyDescent="0.35">
      <c r="A228">
        <f>+A227+1</f>
        <v>230</v>
      </c>
    </row>
  </sheetData>
  <autoFilter ref="A1:K121" xr:uid="{3F47A639-4438-4214-B743-6BC09FE2262A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4F7C-A950-44CC-B917-07D1A83D4214}">
  <dimension ref="A1:W38"/>
  <sheetViews>
    <sheetView topLeftCell="L15" workbookViewId="0">
      <selection activeCell="T38" sqref="T38"/>
    </sheetView>
  </sheetViews>
  <sheetFormatPr defaultRowHeight="14.5" x14ac:dyDescent="0.35"/>
  <cols>
    <col min="1" max="1" width="17.453125" bestFit="1" customWidth="1"/>
    <col min="2" max="2" width="15.54296875" bestFit="1" customWidth="1"/>
    <col min="3" max="3" width="6.26953125" bestFit="1" customWidth="1"/>
    <col min="4" max="5" width="10.54296875" bestFit="1" customWidth="1"/>
    <col min="19" max="19" width="10.26953125" bestFit="1" customWidth="1"/>
    <col min="23" max="23" width="10.54296875" bestFit="1" customWidth="1"/>
  </cols>
  <sheetData>
    <row r="1" spans="1:23" x14ac:dyDescent="0.35">
      <c r="S1" s="66" t="s">
        <v>17</v>
      </c>
      <c r="T1" s="66" t="s">
        <v>540</v>
      </c>
      <c r="U1" s="66" t="s">
        <v>554</v>
      </c>
      <c r="V1" s="66" t="s">
        <v>588</v>
      </c>
      <c r="W1" s="66" t="s">
        <v>20</v>
      </c>
    </row>
    <row r="2" spans="1:23" x14ac:dyDescent="0.35">
      <c r="S2" s="45">
        <v>46207</v>
      </c>
      <c r="T2">
        <v>1</v>
      </c>
      <c r="U2">
        <v>1</v>
      </c>
      <c r="W2">
        <v>2</v>
      </c>
    </row>
    <row r="3" spans="1:23" x14ac:dyDescent="0.35">
      <c r="A3" s="12" t="s">
        <v>18</v>
      </c>
      <c r="B3" s="12" t="s">
        <v>16</v>
      </c>
      <c r="S3" s="45">
        <v>46209</v>
      </c>
      <c r="T3">
        <v>3</v>
      </c>
      <c r="U3">
        <v>6</v>
      </c>
      <c r="W3">
        <v>9</v>
      </c>
    </row>
    <row r="4" spans="1:23" x14ac:dyDescent="0.35">
      <c r="A4" s="12" t="s">
        <v>17</v>
      </c>
      <c r="B4" t="s">
        <v>540</v>
      </c>
      <c r="C4" t="s">
        <v>554</v>
      </c>
      <c r="D4" t="s">
        <v>20</v>
      </c>
      <c r="S4" s="45">
        <v>46210</v>
      </c>
      <c r="T4">
        <v>3</v>
      </c>
      <c r="W4">
        <v>3</v>
      </c>
    </row>
    <row r="5" spans="1:23" x14ac:dyDescent="0.35">
      <c r="A5" s="45">
        <v>46207</v>
      </c>
      <c r="B5">
        <v>1</v>
      </c>
      <c r="C5">
        <v>1</v>
      </c>
      <c r="D5">
        <v>2</v>
      </c>
      <c r="S5" s="45">
        <v>46211</v>
      </c>
      <c r="T5">
        <v>1</v>
      </c>
      <c r="U5">
        <v>1</v>
      </c>
      <c r="W5">
        <v>2</v>
      </c>
    </row>
    <row r="6" spans="1:23" x14ac:dyDescent="0.35">
      <c r="A6" s="45">
        <v>46209</v>
      </c>
      <c r="B6">
        <v>3</v>
      </c>
      <c r="C6">
        <v>6</v>
      </c>
      <c r="D6">
        <v>9</v>
      </c>
      <c r="S6" s="45">
        <v>46212</v>
      </c>
      <c r="T6">
        <v>7</v>
      </c>
      <c r="U6">
        <v>6</v>
      </c>
      <c r="W6">
        <v>13</v>
      </c>
    </row>
    <row r="7" spans="1:23" x14ac:dyDescent="0.35">
      <c r="A7" s="45">
        <v>46210</v>
      </c>
      <c r="B7">
        <v>3</v>
      </c>
      <c r="D7">
        <v>3</v>
      </c>
      <c r="S7" s="45">
        <v>46213</v>
      </c>
      <c r="T7">
        <v>4</v>
      </c>
      <c r="W7">
        <v>4</v>
      </c>
    </row>
    <row r="8" spans="1:23" x14ac:dyDescent="0.35">
      <c r="A8" s="45">
        <v>46211</v>
      </c>
      <c r="B8">
        <v>1</v>
      </c>
      <c r="C8">
        <v>1</v>
      </c>
      <c r="D8">
        <v>2</v>
      </c>
      <c r="S8" s="45">
        <v>46214</v>
      </c>
      <c r="T8">
        <v>1</v>
      </c>
      <c r="U8">
        <v>7</v>
      </c>
      <c r="W8">
        <v>8</v>
      </c>
    </row>
    <row r="9" spans="1:23" x14ac:dyDescent="0.35">
      <c r="A9" s="45">
        <v>46212</v>
      </c>
      <c r="B9">
        <v>7</v>
      </c>
      <c r="C9">
        <v>6</v>
      </c>
      <c r="D9">
        <v>13</v>
      </c>
      <c r="S9" s="45">
        <v>46216</v>
      </c>
      <c r="U9">
        <v>11</v>
      </c>
      <c r="W9">
        <v>11</v>
      </c>
    </row>
    <row r="10" spans="1:23" x14ac:dyDescent="0.35">
      <c r="A10" s="45">
        <v>46213</v>
      </c>
      <c r="B10">
        <v>4</v>
      </c>
      <c r="D10">
        <v>4</v>
      </c>
      <c r="S10" s="45">
        <v>46217</v>
      </c>
      <c r="T10">
        <v>2</v>
      </c>
      <c r="U10">
        <v>2</v>
      </c>
      <c r="W10">
        <v>4</v>
      </c>
    </row>
    <row r="11" spans="1:23" x14ac:dyDescent="0.35">
      <c r="A11" s="45">
        <v>46214</v>
      </c>
      <c r="B11">
        <v>1</v>
      </c>
      <c r="C11">
        <v>7</v>
      </c>
      <c r="D11">
        <v>8</v>
      </c>
      <c r="S11" s="45">
        <v>46218</v>
      </c>
      <c r="T11">
        <v>1</v>
      </c>
      <c r="U11">
        <v>11</v>
      </c>
      <c r="W11">
        <v>12</v>
      </c>
    </row>
    <row r="12" spans="1:23" x14ac:dyDescent="0.35">
      <c r="A12" s="45">
        <v>46216</v>
      </c>
      <c r="C12">
        <v>11</v>
      </c>
      <c r="D12">
        <v>11</v>
      </c>
      <c r="S12" s="45">
        <v>46219</v>
      </c>
      <c r="U12">
        <v>4</v>
      </c>
      <c r="W12">
        <v>4</v>
      </c>
    </row>
    <row r="13" spans="1:23" x14ac:dyDescent="0.35">
      <c r="A13" s="45">
        <v>46217</v>
      </c>
      <c r="B13">
        <v>2</v>
      </c>
      <c r="C13">
        <v>2</v>
      </c>
      <c r="D13">
        <v>4</v>
      </c>
      <c r="S13" s="45">
        <v>46220</v>
      </c>
      <c r="U13">
        <v>1</v>
      </c>
      <c r="W13">
        <v>1</v>
      </c>
    </row>
    <row r="14" spans="1:23" x14ac:dyDescent="0.35">
      <c r="A14" s="45">
        <v>46218</v>
      </c>
      <c r="B14">
        <v>1</v>
      </c>
      <c r="C14">
        <v>11</v>
      </c>
      <c r="D14">
        <v>12</v>
      </c>
      <c r="S14" s="45">
        <v>46221</v>
      </c>
      <c r="U14">
        <v>8</v>
      </c>
      <c r="W14">
        <v>8</v>
      </c>
    </row>
    <row r="15" spans="1:23" x14ac:dyDescent="0.35">
      <c r="A15" s="45">
        <v>46219</v>
      </c>
      <c r="C15">
        <v>4</v>
      </c>
      <c r="D15">
        <v>4</v>
      </c>
      <c r="S15" s="45">
        <v>46223</v>
      </c>
      <c r="T15">
        <v>2</v>
      </c>
      <c r="U15">
        <v>3</v>
      </c>
      <c r="W15">
        <v>5</v>
      </c>
    </row>
    <row r="16" spans="1:23" x14ac:dyDescent="0.35">
      <c r="A16" s="45">
        <v>46220</v>
      </c>
      <c r="C16">
        <v>1</v>
      </c>
      <c r="D16">
        <v>1</v>
      </c>
      <c r="S16" s="45">
        <v>46224</v>
      </c>
      <c r="T16">
        <v>4</v>
      </c>
      <c r="U16">
        <v>5</v>
      </c>
      <c r="W16">
        <v>9</v>
      </c>
    </row>
    <row r="17" spans="1:23" x14ac:dyDescent="0.35">
      <c r="A17" s="45">
        <v>46221</v>
      </c>
      <c r="C17">
        <v>8</v>
      </c>
      <c r="D17">
        <v>8</v>
      </c>
      <c r="S17" s="45">
        <v>46225</v>
      </c>
      <c r="T17">
        <v>1</v>
      </c>
      <c r="U17">
        <v>3</v>
      </c>
      <c r="W17">
        <v>4</v>
      </c>
    </row>
    <row r="18" spans="1:23" x14ac:dyDescent="0.35">
      <c r="A18" s="45">
        <v>46223</v>
      </c>
      <c r="B18">
        <v>2</v>
      </c>
      <c r="C18">
        <v>3</v>
      </c>
      <c r="D18">
        <v>5</v>
      </c>
      <c r="S18" s="45">
        <v>46226</v>
      </c>
      <c r="T18">
        <v>2</v>
      </c>
      <c r="W18">
        <v>2</v>
      </c>
    </row>
    <row r="19" spans="1:23" x14ac:dyDescent="0.35">
      <c r="A19" s="45">
        <v>46224</v>
      </c>
      <c r="B19">
        <v>4</v>
      </c>
      <c r="C19">
        <v>5</v>
      </c>
      <c r="D19">
        <v>9</v>
      </c>
      <c r="S19" s="45">
        <v>46227</v>
      </c>
      <c r="T19">
        <v>2</v>
      </c>
      <c r="W19">
        <v>2</v>
      </c>
    </row>
    <row r="20" spans="1:23" x14ac:dyDescent="0.35">
      <c r="A20" s="45">
        <v>46225</v>
      </c>
      <c r="B20">
        <v>1</v>
      </c>
      <c r="C20">
        <v>3</v>
      </c>
      <c r="D20">
        <v>4</v>
      </c>
      <c r="S20" s="45">
        <v>46228</v>
      </c>
      <c r="T20">
        <v>1</v>
      </c>
      <c r="U20">
        <v>1</v>
      </c>
      <c r="W20">
        <v>2</v>
      </c>
    </row>
    <row r="21" spans="1:23" x14ac:dyDescent="0.35">
      <c r="A21" s="45">
        <v>46226</v>
      </c>
      <c r="B21">
        <v>2</v>
      </c>
      <c r="D21">
        <v>2</v>
      </c>
      <c r="S21" s="45">
        <v>46230</v>
      </c>
      <c r="T21">
        <v>2</v>
      </c>
      <c r="W21">
        <v>2</v>
      </c>
    </row>
    <row r="22" spans="1:23" x14ac:dyDescent="0.35">
      <c r="A22" s="45">
        <v>46227</v>
      </c>
      <c r="B22">
        <v>2</v>
      </c>
      <c r="D22">
        <v>2</v>
      </c>
      <c r="S22" s="45">
        <v>46232</v>
      </c>
      <c r="U22">
        <v>1</v>
      </c>
      <c r="W22">
        <v>1</v>
      </c>
    </row>
    <row r="23" spans="1:23" x14ac:dyDescent="0.35">
      <c r="A23" s="45">
        <v>46228</v>
      </c>
      <c r="B23">
        <v>1</v>
      </c>
      <c r="C23">
        <v>1</v>
      </c>
      <c r="D23">
        <v>2</v>
      </c>
      <c r="S23" s="45">
        <v>46237</v>
      </c>
      <c r="T23">
        <v>1</v>
      </c>
      <c r="U23">
        <v>1</v>
      </c>
      <c r="W23">
        <v>2</v>
      </c>
    </row>
    <row r="24" spans="1:23" x14ac:dyDescent="0.35">
      <c r="A24" s="45">
        <v>46230</v>
      </c>
      <c r="B24">
        <v>2</v>
      </c>
      <c r="D24">
        <v>2</v>
      </c>
      <c r="S24" s="45">
        <v>46239</v>
      </c>
      <c r="U24">
        <v>20</v>
      </c>
      <c r="W24">
        <f t="shared" ref="W24:W30" si="0">T24+U24+V24</f>
        <v>20</v>
      </c>
    </row>
    <row r="25" spans="1:23" x14ac:dyDescent="0.35">
      <c r="A25" s="45">
        <v>46232</v>
      </c>
      <c r="C25">
        <v>1</v>
      </c>
      <c r="D25">
        <v>1</v>
      </c>
      <c r="S25" s="45">
        <v>46240</v>
      </c>
      <c r="U25">
        <v>25</v>
      </c>
      <c r="W25">
        <f t="shared" si="0"/>
        <v>25</v>
      </c>
    </row>
    <row r="26" spans="1:23" x14ac:dyDescent="0.35">
      <c r="A26" s="45">
        <v>46237</v>
      </c>
      <c r="B26">
        <v>1</v>
      </c>
      <c r="C26">
        <v>1</v>
      </c>
      <c r="D26">
        <v>2</v>
      </c>
      <c r="S26" s="45">
        <v>46241</v>
      </c>
      <c r="U26">
        <v>22</v>
      </c>
      <c r="W26">
        <f t="shared" si="0"/>
        <v>22</v>
      </c>
    </row>
    <row r="27" spans="1:23" x14ac:dyDescent="0.35">
      <c r="A27" s="45">
        <v>46239</v>
      </c>
      <c r="C27">
        <v>5</v>
      </c>
      <c r="D27">
        <v>5</v>
      </c>
      <c r="F27">
        <v>20</v>
      </c>
      <c r="G27">
        <f>GETPIVOTDATA("Compound",$A$3,"Tgl Disposisi",DATE(2026,8,5))-F27</f>
        <v>-15</v>
      </c>
      <c r="S27" s="45">
        <v>46245</v>
      </c>
      <c r="U27">
        <v>5</v>
      </c>
      <c r="V27">
        <v>3</v>
      </c>
      <c r="W27">
        <f t="shared" si="0"/>
        <v>8</v>
      </c>
    </row>
    <row r="28" spans="1:23" x14ac:dyDescent="0.35">
      <c r="A28" s="45">
        <v>46240</v>
      </c>
      <c r="C28">
        <v>6</v>
      </c>
      <c r="D28">
        <v>6</v>
      </c>
      <c r="F28">
        <v>25</v>
      </c>
      <c r="G28">
        <f>F28-GETPIVOTDATA("Compound",$A$3,"Tgl Disposisi",DATE(2026,8,6))</f>
        <v>19</v>
      </c>
      <c r="S28" s="45">
        <v>46246</v>
      </c>
      <c r="T28">
        <v>1</v>
      </c>
      <c r="U28">
        <v>9</v>
      </c>
      <c r="W28">
        <f t="shared" si="0"/>
        <v>10</v>
      </c>
    </row>
    <row r="29" spans="1:23" x14ac:dyDescent="0.35">
      <c r="A29" s="45">
        <v>46241</v>
      </c>
      <c r="B29">
        <v>3</v>
      </c>
      <c r="C29">
        <v>5</v>
      </c>
      <c r="D29">
        <v>8</v>
      </c>
      <c r="S29" s="45">
        <v>46247</v>
      </c>
      <c r="T29">
        <v>1</v>
      </c>
      <c r="U29">
        <v>9</v>
      </c>
      <c r="W29">
        <f t="shared" si="0"/>
        <v>10</v>
      </c>
    </row>
    <row r="30" spans="1:23" x14ac:dyDescent="0.35">
      <c r="A30" s="45">
        <v>46242</v>
      </c>
      <c r="C30">
        <v>11</v>
      </c>
      <c r="D30">
        <v>11</v>
      </c>
      <c r="S30" s="45">
        <v>46248</v>
      </c>
      <c r="T30">
        <v>1</v>
      </c>
      <c r="U30">
        <v>4</v>
      </c>
      <c r="W30">
        <f t="shared" si="0"/>
        <v>5</v>
      </c>
    </row>
    <row r="31" spans="1:23" x14ac:dyDescent="0.35">
      <c r="A31" s="45">
        <v>46244</v>
      </c>
      <c r="C31">
        <v>4</v>
      </c>
      <c r="D31">
        <v>4</v>
      </c>
      <c r="S31" s="45">
        <v>46249</v>
      </c>
      <c r="T31">
        <v>0</v>
      </c>
      <c r="U31">
        <v>0</v>
      </c>
      <c r="V31">
        <v>1</v>
      </c>
      <c r="W31">
        <f t="shared" ref="W31" si="1">T31+U31+V31</f>
        <v>1</v>
      </c>
    </row>
    <row r="32" spans="1:23" x14ac:dyDescent="0.35">
      <c r="A32" s="45">
        <v>46245</v>
      </c>
      <c r="B32">
        <v>1</v>
      </c>
      <c r="C32">
        <v>5</v>
      </c>
      <c r="D32">
        <v>6</v>
      </c>
      <c r="S32" s="45">
        <v>46253</v>
      </c>
      <c r="T32">
        <v>0</v>
      </c>
      <c r="U32">
        <v>2</v>
      </c>
      <c r="W32">
        <f t="shared" ref="W32" si="2">T32+U32+V32</f>
        <v>2</v>
      </c>
    </row>
    <row r="33" spans="1:23" x14ac:dyDescent="0.35">
      <c r="A33" s="45">
        <v>46246</v>
      </c>
      <c r="B33">
        <v>1</v>
      </c>
      <c r="C33">
        <v>9</v>
      </c>
      <c r="D33">
        <v>10</v>
      </c>
      <c r="S33" s="45">
        <v>46254</v>
      </c>
      <c r="T33">
        <v>0</v>
      </c>
      <c r="U33">
        <v>4</v>
      </c>
      <c r="W33">
        <f t="shared" ref="W33:W34" si="3">T33+U33+V33</f>
        <v>4</v>
      </c>
    </row>
    <row r="34" spans="1:23" x14ac:dyDescent="0.35">
      <c r="A34" s="4" t="s">
        <v>20</v>
      </c>
      <c r="B34">
        <v>43</v>
      </c>
      <c r="C34">
        <v>117</v>
      </c>
      <c r="D34">
        <v>160</v>
      </c>
      <c r="S34" s="45">
        <v>46255</v>
      </c>
      <c r="U34">
        <v>2</v>
      </c>
      <c r="W34">
        <f t="shared" si="3"/>
        <v>2</v>
      </c>
    </row>
    <row r="35" spans="1:23" x14ac:dyDescent="0.35">
      <c r="S35" s="45">
        <v>46260</v>
      </c>
      <c r="U35">
        <v>0</v>
      </c>
      <c r="W35">
        <f>T35+U35+V35</f>
        <v>0</v>
      </c>
    </row>
    <row r="36" spans="1:23" x14ac:dyDescent="0.35">
      <c r="S36" s="45">
        <v>46266</v>
      </c>
      <c r="U36">
        <v>3</v>
      </c>
      <c r="W36">
        <f>T36+U36+V36</f>
        <v>3</v>
      </c>
    </row>
    <row r="37" spans="1:23" x14ac:dyDescent="0.35">
      <c r="S37" s="45">
        <v>46267</v>
      </c>
      <c r="T37">
        <v>2</v>
      </c>
      <c r="U37">
        <v>2</v>
      </c>
      <c r="W37">
        <f>T37+U37+V37</f>
        <v>4</v>
      </c>
    </row>
    <row r="38" spans="1:23" x14ac:dyDescent="0.35">
      <c r="S38" s="45">
        <v>46268</v>
      </c>
      <c r="T38">
        <v>2</v>
      </c>
      <c r="U38">
        <v>2</v>
      </c>
      <c r="W38">
        <f>T38+U38+V38</f>
        <v>4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F7FC-700D-4CCD-BE2F-A032B8EEF2F1}">
  <dimension ref="A1:CN58"/>
  <sheetViews>
    <sheetView topLeftCell="A17" zoomScaleNormal="100" workbookViewId="0">
      <selection activeCell="CR17" sqref="CR17"/>
    </sheetView>
  </sheetViews>
  <sheetFormatPr defaultRowHeight="14.5" x14ac:dyDescent="0.35"/>
  <cols>
    <col min="1" max="1" width="14.26953125" bestFit="1" customWidth="1"/>
    <col min="2" max="2" width="25.453125" bestFit="1" customWidth="1"/>
    <col min="3" max="3" width="4" hidden="1" customWidth="1"/>
    <col min="4" max="5" width="3.7265625" hidden="1" customWidth="1"/>
    <col min="6" max="6" width="4.81640625" hidden="1" customWidth="1"/>
    <col min="7" max="7" width="4" hidden="1" customWidth="1"/>
    <col min="8" max="9" width="3.7265625" hidden="1" customWidth="1"/>
    <col min="10" max="10" width="4.81640625" hidden="1" customWidth="1"/>
    <col min="11" max="11" width="4" hidden="1" customWidth="1"/>
    <col min="12" max="13" width="3.7265625" hidden="1" customWidth="1"/>
    <col min="14" max="14" width="4.81640625" hidden="1" customWidth="1"/>
    <col min="15" max="15" width="4" hidden="1" customWidth="1"/>
    <col min="16" max="17" width="3.7265625" hidden="1" customWidth="1"/>
    <col min="18" max="18" width="4.81640625" hidden="1" customWidth="1"/>
    <col min="19" max="19" width="4" hidden="1" customWidth="1"/>
    <col min="20" max="21" width="3.7265625" hidden="1" customWidth="1"/>
    <col min="22" max="22" width="4.81640625" hidden="1" customWidth="1"/>
    <col min="23" max="23" width="4.26953125" hidden="1" customWidth="1"/>
    <col min="24" max="25" width="3.7265625" hidden="1" customWidth="1"/>
    <col min="26" max="26" width="5.26953125" hidden="1" customWidth="1"/>
    <col min="27" max="27" width="4.26953125" hidden="1" customWidth="1"/>
    <col min="28" max="29" width="3.7265625" hidden="1" customWidth="1"/>
    <col min="30" max="30" width="5.26953125" hidden="1" customWidth="1"/>
    <col min="31" max="31" width="4.1796875" hidden="1" customWidth="1"/>
    <col min="32" max="33" width="3.7265625" hidden="1" customWidth="1"/>
    <col min="34" max="34" width="5" hidden="1" customWidth="1"/>
    <col min="35" max="35" width="4.1796875" hidden="1" customWidth="1"/>
    <col min="36" max="37" width="3.7265625" hidden="1" customWidth="1"/>
    <col min="38" max="38" width="5" hidden="1" customWidth="1"/>
    <col min="39" max="39" width="4.1796875" hidden="1" customWidth="1"/>
    <col min="40" max="41" width="3.7265625" hidden="1" customWidth="1"/>
    <col min="42" max="42" width="5" hidden="1" customWidth="1"/>
    <col min="43" max="43" width="4.1796875" hidden="1" customWidth="1"/>
    <col min="44" max="45" width="3.7265625" hidden="1" customWidth="1"/>
    <col min="46" max="46" width="5" hidden="1" customWidth="1"/>
    <col min="47" max="47" width="4.1796875" hidden="1" customWidth="1"/>
    <col min="48" max="49" width="3.7265625" hidden="1" customWidth="1"/>
    <col min="50" max="50" width="5" hidden="1" customWidth="1"/>
    <col min="51" max="51" width="4.1796875" hidden="1" customWidth="1"/>
    <col min="52" max="53" width="3.7265625" hidden="1" customWidth="1"/>
    <col min="54" max="54" width="5" hidden="1" customWidth="1"/>
    <col min="55" max="55" width="4.1796875" hidden="1" customWidth="1"/>
    <col min="56" max="57" width="3.7265625" hidden="1" customWidth="1"/>
    <col min="58" max="58" width="5" hidden="1" customWidth="1"/>
    <col min="59" max="59" width="4.1796875" bestFit="1" customWidth="1"/>
    <col min="60" max="61" width="3.7265625" bestFit="1" customWidth="1"/>
    <col min="62" max="62" width="5" bestFit="1" customWidth="1"/>
    <col min="63" max="63" width="3.81640625" bestFit="1" customWidth="1"/>
    <col min="64" max="64" width="3.54296875" bestFit="1" customWidth="1"/>
    <col min="65" max="65" width="3.7265625" bestFit="1" customWidth="1"/>
    <col min="66" max="66" width="3.7265625" customWidth="1"/>
    <col min="67" max="67" width="5" bestFit="1" customWidth="1"/>
    <col min="68" max="68" width="3.81640625" hidden="1" customWidth="1"/>
    <col min="69" max="69" width="3.54296875" hidden="1" customWidth="1"/>
    <col min="70" max="70" width="3.7265625" hidden="1" customWidth="1"/>
    <col min="71" max="71" width="5.26953125" hidden="1" customWidth="1"/>
    <col min="72" max="72" width="5" hidden="1" customWidth="1"/>
    <col min="73" max="73" width="3.81640625" bestFit="1" customWidth="1"/>
    <col min="74" max="74" width="3.54296875" bestFit="1" customWidth="1"/>
    <col min="75" max="75" width="3.7265625" bestFit="1" customWidth="1"/>
    <col min="76" max="76" width="5.26953125" bestFit="1" customWidth="1"/>
    <col min="77" max="77" width="5" bestFit="1" customWidth="1"/>
    <col min="78" max="78" width="3.81640625" bestFit="1" customWidth="1"/>
    <col min="79" max="79" width="3.54296875" bestFit="1" customWidth="1"/>
    <col min="80" max="80" width="3.7265625" bestFit="1" customWidth="1"/>
    <col min="81" max="81" width="5.26953125" bestFit="1" customWidth="1"/>
    <col min="82" max="82" width="5" bestFit="1" customWidth="1"/>
    <col min="83" max="83" width="3.81640625" bestFit="1" customWidth="1"/>
    <col min="84" max="84" width="3.54296875" bestFit="1" customWidth="1"/>
    <col min="85" max="85" width="3.7265625" bestFit="1" customWidth="1"/>
    <col min="86" max="86" width="5.26953125" bestFit="1" customWidth="1"/>
    <col min="87" max="87" width="5" bestFit="1" customWidth="1"/>
    <col min="88" max="88" width="3.81640625" bestFit="1" customWidth="1"/>
    <col min="89" max="89" width="3.54296875" bestFit="1" customWidth="1"/>
    <col min="90" max="90" width="3.7265625" bestFit="1" customWidth="1"/>
    <col min="91" max="91" width="5.26953125" bestFit="1" customWidth="1"/>
    <col min="92" max="92" width="5" bestFit="1" customWidth="1"/>
  </cols>
  <sheetData>
    <row r="1" spans="1:92" x14ac:dyDescent="0.35">
      <c r="C1" s="81">
        <v>46232</v>
      </c>
      <c r="D1" s="81"/>
      <c r="E1" s="81"/>
      <c r="F1" s="81"/>
      <c r="G1" s="81">
        <v>46237</v>
      </c>
      <c r="H1" s="81"/>
      <c r="I1" s="81"/>
      <c r="J1" s="81"/>
      <c r="K1" s="81">
        <v>46238</v>
      </c>
      <c r="L1" s="81"/>
      <c r="M1" s="81"/>
      <c r="N1" s="81"/>
      <c r="O1" s="81">
        <v>46239</v>
      </c>
      <c r="P1" s="81"/>
      <c r="Q1" s="81"/>
      <c r="R1" s="81"/>
      <c r="S1" s="81">
        <v>46240</v>
      </c>
      <c r="T1" s="81"/>
      <c r="U1" s="81"/>
      <c r="V1" s="81"/>
      <c r="W1" s="81">
        <v>46241</v>
      </c>
      <c r="X1" s="81"/>
      <c r="Y1" s="81"/>
      <c r="Z1" s="81"/>
      <c r="AA1" s="81">
        <v>46244</v>
      </c>
      <c r="AB1" s="81"/>
      <c r="AC1" s="81"/>
      <c r="AD1" s="81"/>
      <c r="AE1" s="81">
        <v>46245</v>
      </c>
      <c r="AF1" s="81"/>
      <c r="AG1" s="81"/>
      <c r="AH1" s="81"/>
      <c r="AI1" s="81">
        <v>46246</v>
      </c>
      <c r="AJ1" s="81"/>
      <c r="AK1" s="81"/>
      <c r="AL1" s="81"/>
      <c r="AM1" s="81">
        <v>46247</v>
      </c>
      <c r="AN1" s="81"/>
      <c r="AO1" s="81"/>
      <c r="AP1" s="81"/>
      <c r="AQ1" s="97">
        <v>46248</v>
      </c>
      <c r="AR1" s="97"/>
      <c r="AS1" s="97"/>
      <c r="AT1" s="97"/>
      <c r="AU1" s="97">
        <v>46252</v>
      </c>
      <c r="AV1" s="97"/>
      <c r="AW1" s="97"/>
      <c r="AX1" s="97"/>
      <c r="AY1" s="97">
        <v>46253</v>
      </c>
      <c r="AZ1" s="97"/>
      <c r="BA1" s="97"/>
      <c r="BB1" s="97"/>
      <c r="BC1" s="97">
        <v>46254</v>
      </c>
      <c r="BD1" s="97"/>
      <c r="BE1" s="97"/>
      <c r="BF1" s="97"/>
      <c r="BG1" s="97">
        <v>46255</v>
      </c>
      <c r="BH1" s="97"/>
      <c r="BI1" s="97"/>
      <c r="BJ1" s="97"/>
      <c r="BK1" s="97">
        <v>46260</v>
      </c>
      <c r="BL1" s="97"/>
      <c r="BM1" s="97"/>
      <c r="BN1" s="97"/>
      <c r="BO1" s="97"/>
      <c r="BP1" s="97">
        <v>46261</v>
      </c>
      <c r="BQ1" s="97"/>
      <c r="BR1" s="97"/>
      <c r="BS1" s="97"/>
      <c r="BT1" s="98"/>
      <c r="BU1" s="99">
        <v>46266</v>
      </c>
      <c r="BV1" s="94"/>
      <c r="BW1" s="94"/>
      <c r="BX1" s="94"/>
      <c r="BY1" s="95"/>
      <c r="BZ1" s="93">
        <v>46267</v>
      </c>
      <c r="CA1" s="94"/>
      <c r="CB1" s="94"/>
      <c r="CC1" s="94"/>
      <c r="CD1" s="95"/>
      <c r="CE1" s="93">
        <v>46268</v>
      </c>
      <c r="CF1" s="94"/>
      <c r="CG1" s="94"/>
      <c r="CH1" s="94"/>
      <c r="CI1" s="95"/>
      <c r="CJ1" s="93">
        <v>46269</v>
      </c>
      <c r="CK1" s="94"/>
      <c r="CL1" s="94"/>
      <c r="CM1" s="94"/>
      <c r="CN1" s="95"/>
    </row>
    <row r="2" spans="1:92" x14ac:dyDescent="0.35">
      <c r="A2" s="52" t="s">
        <v>5</v>
      </c>
      <c r="B2" s="52" t="s">
        <v>599</v>
      </c>
      <c r="C2" s="21" t="s">
        <v>600</v>
      </c>
      <c r="D2" s="8" t="s">
        <v>601</v>
      </c>
      <c r="E2" s="8" t="s">
        <v>602</v>
      </c>
      <c r="F2" s="52" t="s">
        <v>603</v>
      </c>
      <c r="G2" s="21" t="s">
        <v>600</v>
      </c>
      <c r="H2" s="8" t="s">
        <v>601</v>
      </c>
      <c r="I2" s="8" t="s">
        <v>602</v>
      </c>
      <c r="J2" s="52" t="s">
        <v>603</v>
      </c>
      <c r="K2" s="21" t="s">
        <v>600</v>
      </c>
      <c r="L2" s="8" t="s">
        <v>601</v>
      </c>
      <c r="M2" s="8" t="s">
        <v>602</v>
      </c>
      <c r="N2" s="52" t="s">
        <v>603</v>
      </c>
      <c r="O2" s="21" t="s">
        <v>600</v>
      </c>
      <c r="P2" s="8" t="s">
        <v>601</v>
      </c>
      <c r="Q2" s="8" t="s">
        <v>602</v>
      </c>
      <c r="R2" s="52" t="s">
        <v>603</v>
      </c>
      <c r="S2" s="21" t="s">
        <v>600</v>
      </c>
      <c r="T2" s="8" t="s">
        <v>601</v>
      </c>
      <c r="U2" s="8" t="s">
        <v>602</v>
      </c>
      <c r="V2" s="52" t="s">
        <v>603</v>
      </c>
      <c r="W2" s="21" t="s">
        <v>600</v>
      </c>
      <c r="X2" s="8" t="s">
        <v>601</v>
      </c>
      <c r="Y2" s="8" t="s">
        <v>602</v>
      </c>
      <c r="Z2" s="52" t="s">
        <v>603</v>
      </c>
      <c r="AA2" s="21" t="s">
        <v>600</v>
      </c>
      <c r="AB2" s="8" t="s">
        <v>601</v>
      </c>
      <c r="AC2" s="8" t="s">
        <v>602</v>
      </c>
      <c r="AD2" s="52" t="s">
        <v>603</v>
      </c>
      <c r="AE2" s="21" t="s">
        <v>600</v>
      </c>
      <c r="AF2" s="8" t="s">
        <v>601</v>
      </c>
      <c r="AG2" s="8" t="s">
        <v>602</v>
      </c>
      <c r="AH2" s="52" t="s">
        <v>603</v>
      </c>
      <c r="AI2" s="21" t="s">
        <v>600</v>
      </c>
      <c r="AJ2" s="8" t="s">
        <v>601</v>
      </c>
      <c r="AK2" s="8" t="s">
        <v>602</v>
      </c>
      <c r="AL2" s="52" t="s">
        <v>603</v>
      </c>
      <c r="AM2" s="21" t="s">
        <v>600</v>
      </c>
      <c r="AN2" s="8" t="s">
        <v>601</v>
      </c>
      <c r="AO2" s="8" t="s">
        <v>602</v>
      </c>
      <c r="AP2" s="52" t="s">
        <v>603</v>
      </c>
      <c r="AQ2" s="21" t="s">
        <v>600</v>
      </c>
      <c r="AR2" s="8" t="s">
        <v>601</v>
      </c>
      <c r="AS2" s="8" t="s">
        <v>602</v>
      </c>
      <c r="AT2" s="52" t="s">
        <v>603</v>
      </c>
      <c r="AU2" s="21" t="s">
        <v>600</v>
      </c>
      <c r="AV2" s="8" t="s">
        <v>601</v>
      </c>
      <c r="AW2" s="8" t="s">
        <v>602</v>
      </c>
      <c r="AX2" s="52" t="s">
        <v>603</v>
      </c>
      <c r="AY2" s="21" t="s">
        <v>600</v>
      </c>
      <c r="AZ2" s="8" t="s">
        <v>601</v>
      </c>
      <c r="BA2" s="8" t="s">
        <v>602</v>
      </c>
      <c r="BB2" s="52" t="s">
        <v>603</v>
      </c>
      <c r="BC2" s="21" t="s">
        <v>600</v>
      </c>
      <c r="BD2" s="8" t="s">
        <v>601</v>
      </c>
      <c r="BE2" s="8" t="s">
        <v>602</v>
      </c>
      <c r="BF2" s="52" t="s">
        <v>603</v>
      </c>
      <c r="BG2" s="21" t="s">
        <v>600</v>
      </c>
      <c r="BH2" s="8" t="s">
        <v>601</v>
      </c>
      <c r="BI2" s="8" t="s">
        <v>602</v>
      </c>
      <c r="BJ2" s="52" t="s">
        <v>603</v>
      </c>
      <c r="BK2" s="21" t="s">
        <v>600</v>
      </c>
      <c r="BL2" s="8" t="s">
        <v>601</v>
      </c>
      <c r="BM2" s="8" t="s">
        <v>602</v>
      </c>
      <c r="BN2" s="8" t="s">
        <v>604</v>
      </c>
      <c r="BO2" s="52" t="s">
        <v>603</v>
      </c>
      <c r="BP2" s="21" t="s">
        <v>600</v>
      </c>
      <c r="BQ2" s="8" t="s">
        <v>601</v>
      </c>
      <c r="BR2" s="8" t="s">
        <v>602</v>
      </c>
      <c r="BS2" s="8" t="s">
        <v>604</v>
      </c>
      <c r="BT2" s="84" t="s">
        <v>603</v>
      </c>
      <c r="BU2" s="86" t="s">
        <v>600</v>
      </c>
      <c r="BV2" s="8" t="s">
        <v>601</v>
      </c>
      <c r="BW2" s="8" t="s">
        <v>602</v>
      </c>
      <c r="BX2" s="8" t="s">
        <v>604</v>
      </c>
      <c r="BY2" s="87" t="s">
        <v>603</v>
      </c>
      <c r="BZ2" s="90" t="s">
        <v>600</v>
      </c>
      <c r="CA2" s="8" t="s">
        <v>601</v>
      </c>
      <c r="CB2" s="8" t="s">
        <v>602</v>
      </c>
      <c r="CC2" s="8" t="s">
        <v>604</v>
      </c>
      <c r="CD2" s="87" t="s">
        <v>603</v>
      </c>
      <c r="CE2" s="90" t="s">
        <v>600</v>
      </c>
      <c r="CF2" s="8" t="s">
        <v>601</v>
      </c>
      <c r="CG2" s="8" t="s">
        <v>602</v>
      </c>
      <c r="CH2" s="8" t="s">
        <v>604</v>
      </c>
      <c r="CI2" s="87" t="s">
        <v>603</v>
      </c>
      <c r="CJ2" s="90" t="s">
        <v>600</v>
      </c>
      <c r="CK2" s="8" t="s">
        <v>601</v>
      </c>
      <c r="CL2" s="8" t="s">
        <v>602</v>
      </c>
      <c r="CM2" s="8" t="s">
        <v>604</v>
      </c>
      <c r="CN2" s="87" t="s">
        <v>603</v>
      </c>
    </row>
    <row r="3" spans="1:92" x14ac:dyDescent="0.35">
      <c r="A3" s="8" t="s">
        <v>605</v>
      </c>
      <c r="B3" s="8" t="s">
        <v>112</v>
      </c>
      <c r="C3" s="8">
        <v>2</v>
      </c>
      <c r="D3" s="8"/>
      <c r="E3" s="8"/>
      <c r="F3" s="52">
        <f>SUM(C3:E3)</f>
        <v>2</v>
      </c>
      <c r="G3" s="8">
        <v>2</v>
      </c>
      <c r="H3" s="8"/>
      <c r="I3" s="8"/>
      <c r="J3" s="52">
        <f t="shared" ref="J3:J11" si="0">SUM(G3:I3)</f>
        <v>2</v>
      </c>
      <c r="K3" s="8">
        <v>2</v>
      </c>
      <c r="L3" s="8"/>
      <c r="M3" s="8"/>
      <c r="N3" s="52">
        <f>SUM(K3:M3)</f>
        <v>2</v>
      </c>
      <c r="O3" s="8"/>
      <c r="P3" s="8"/>
      <c r="Q3" s="8">
        <v>2</v>
      </c>
      <c r="R3" s="52">
        <f t="shared" ref="R3:R31" si="1">SUM(O3:Q3)</f>
        <v>2</v>
      </c>
      <c r="S3" s="8"/>
      <c r="T3" s="8"/>
      <c r="U3" s="8">
        <v>2</v>
      </c>
      <c r="V3" s="52">
        <f t="shared" ref="V3:V34" si="2">SUM(S3:U3)</f>
        <v>2</v>
      </c>
      <c r="W3" s="8"/>
      <c r="X3" s="8"/>
      <c r="Y3" s="8">
        <v>2</v>
      </c>
      <c r="Z3" s="52">
        <f t="shared" ref="Z3:Z31" si="3">SUM(W3:Y3)</f>
        <v>2</v>
      </c>
      <c r="AA3" s="8"/>
      <c r="AB3" s="8"/>
      <c r="AC3" s="8">
        <v>2</v>
      </c>
      <c r="AD3" s="52">
        <f t="shared" ref="AD3:AD27" si="4">SUM(AA3:AC3)</f>
        <v>2</v>
      </c>
      <c r="AE3" s="8"/>
      <c r="AF3" s="8"/>
      <c r="AG3" s="8">
        <v>2</v>
      </c>
      <c r="AH3" s="52">
        <f t="shared" ref="AH3:AH30" si="5">SUM(AE3:AG3)</f>
        <v>2</v>
      </c>
      <c r="AI3" s="8"/>
      <c r="AJ3" s="8"/>
      <c r="AK3" s="8">
        <v>1</v>
      </c>
      <c r="AL3" s="52">
        <f t="shared" ref="AL3:AL31" si="6">SUM(AI3:AK3)</f>
        <v>1</v>
      </c>
      <c r="AM3" s="8"/>
      <c r="AN3" s="8"/>
      <c r="AO3" s="8">
        <v>2</v>
      </c>
      <c r="AP3" s="52">
        <f t="shared" ref="AP3:AP31" si="7">SUM(AM3:AO3)</f>
        <v>2</v>
      </c>
      <c r="AQ3" s="8">
        <v>1</v>
      </c>
      <c r="AR3" s="8"/>
      <c r="AS3" s="8">
        <v>1</v>
      </c>
      <c r="AT3" s="52">
        <f t="shared" ref="AT3:AT31" si="8">SUM(AQ3:AS3)</f>
        <v>2</v>
      </c>
      <c r="AU3" s="8">
        <v>1</v>
      </c>
      <c r="AV3" s="8"/>
      <c r="AW3" s="8">
        <v>1</v>
      </c>
      <c r="AX3" s="52">
        <f t="shared" ref="AX3:AX31" si="9">SUM(AU3:AW3)</f>
        <v>2</v>
      </c>
      <c r="AY3" s="8">
        <v>2</v>
      </c>
      <c r="AZ3" s="8"/>
      <c r="BA3" s="8"/>
      <c r="BB3" s="52">
        <f t="shared" ref="BB3:BB31" si="10">SUM(AY3:BA3)</f>
        <v>2</v>
      </c>
      <c r="BC3" s="8">
        <v>2</v>
      </c>
      <c r="BD3" s="8"/>
      <c r="BE3" s="8"/>
      <c r="BF3" s="52">
        <f t="shared" ref="BF3:BF31" si="11">SUM(BC3:BE3)</f>
        <v>2</v>
      </c>
      <c r="BG3" s="8">
        <v>1</v>
      </c>
      <c r="BH3" s="8"/>
      <c r="BI3" s="8">
        <v>1</v>
      </c>
      <c r="BJ3" s="52">
        <f t="shared" ref="BJ3:BJ31" si="12">SUM(BG3:BI3)</f>
        <v>2</v>
      </c>
      <c r="BK3" s="8">
        <v>1</v>
      </c>
      <c r="BL3" s="8"/>
      <c r="BM3" s="8">
        <v>1</v>
      </c>
      <c r="BN3" s="8">
        <v>0</v>
      </c>
      <c r="BO3" s="52">
        <f>SUM(BK3:BN3)</f>
        <v>2</v>
      </c>
      <c r="BP3" s="8"/>
      <c r="BQ3" s="8"/>
      <c r="BR3" s="8"/>
      <c r="BS3" s="8"/>
      <c r="BT3" s="84">
        <f>SUM(BP3:BS3)</f>
        <v>0</v>
      </c>
      <c r="BU3" s="88">
        <v>1</v>
      </c>
      <c r="BV3" s="8"/>
      <c r="BW3" s="8">
        <v>2</v>
      </c>
      <c r="BX3" s="8"/>
      <c r="BY3" s="87">
        <f>SUM(BU3:BW3)</f>
        <v>3</v>
      </c>
      <c r="BZ3" s="91">
        <v>1</v>
      </c>
      <c r="CA3" s="8"/>
      <c r="CB3" s="8">
        <v>2</v>
      </c>
      <c r="CC3" s="8">
        <v>2</v>
      </c>
      <c r="CD3" s="87">
        <f t="shared" ref="CD3:CD31" si="13">SUM(BZ3:CB3)</f>
        <v>3</v>
      </c>
      <c r="CE3" s="91">
        <v>3</v>
      </c>
      <c r="CF3" s="8"/>
      <c r="CG3" s="8"/>
      <c r="CH3" s="8">
        <v>2</v>
      </c>
      <c r="CI3" s="87">
        <f t="shared" ref="CI3:CI31" si="14">SUM(CE3:CG3)</f>
        <v>3</v>
      </c>
      <c r="CJ3" s="91"/>
      <c r="CK3" s="8"/>
      <c r="CL3" s="8"/>
      <c r="CM3" s="8"/>
      <c r="CN3" s="87">
        <f t="shared" ref="CN3:CN31" si="15">SUM(CJ3:CL3)</f>
        <v>0</v>
      </c>
    </row>
    <row r="4" spans="1:92" x14ac:dyDescent="0.35">
      <c r="A4" s="8" t="s">
        <v>605</v>
      </c>
      <c r="B4" s="8" t="s">
        <v>411</v>
      </c>
      <c r="C4" s="8">
        <v>2</v>
      </c>
      <c r="D4" s="8"/>
      <c r="E4" s="8"/>
      <c r="F4" s="52">
        <f>SUM(C4:E4)</f>
        <v>2</v>
      </c>
      <c r="G4" s="8">
        <v>2</v>
      </c>
      <c r="H4" s="8"/>
      <c r="I4" s="8"/>
      <c r="J4" s="52">
        <f t="shared" si="0"/>
        <v>2</v>
      </c>
      <c r="K4" s="8">
        <v>2</v>
      </c>
      <c r="L4" s="8"/>
      <c r="M4" s="8"/>
      <c r="N4" s="52">
        <f>SUM(K4:M4)</f>
        <v>2</v>
      </c>
      <c r="O4" s="8">
        <v>2</v>
      </c>
      <c r="P4" s="8"/>
      <c r="Q4" s="8"/>
      <c r="R4" s="52">
        <f t="shared" si="1"/>
        <v>2</v>
      </c>
      <c r="S4" s="8">
        <v>2</v>
      </c>
      <c r="T4" s="8"/>
      <c r="U4" s="8"/>
      <c r="V4" s="52">
        <f t="shared" si="2"/>
        <v>2</v>
      </c>
      <c r="W4" s="8">
        <v>2</v>
      </c>
      <c r="X4" s="8"/>
      <c r="Y4" s="8"/>
      <c r="Z4" s="52">
        <f t="shared" si="3"/>
        <v>2</v>
      </c>
      <c r="AA4" s="8">
        <v>2</v>
      </c>
      <c r="AB4" s="8"/>
      <c r="AC4" s="8"/>
      <c r="AD4" s="52">
        <f t="shared" si="4"/>
        <v>2</v>
      </c>
      <c r="AE4" s="8">
        <v>2</v>
      </c>
      <c r="AF4" s="8"/>
      <c r="AG4" s="8"/>
      <c r="AH4" s="52">
        <f t="shared" si="5"/>
        <v>2</v>
      </c>
      <c r="AI4" s="8">
        <v>1</v>
      </c>
      <c r="AJ4" s="8"/>
      <c r="AK4" s="8"/>
      <c r="AL4" s="52">
        <f t="shared" si="6"/>
        <v>1</v>
      </c>
      <c r="AM4" s="8">
        <v>3</v>
      </c>
      <c r="AN4" s="8"/>
      <c r="AO4" s="8"/>
      <c r="AP4" s="52">
        <f t="shared" si="7"/>
        <v>3</v>
      </c>
      <c r="AQ4" s="8">
        <v>3</v>
      </c>
      <c r="AR4" s="8"/>
      <c r="AS4" s="8"/>
      <c r="AT4" s="52">
        <f t="shared" si="8"/>
        <v>3</v>
      </c>
      <c r="AU4" s="8">
        <v>3</v>
      </c>
      <c r="AV4" s="8"/>
      <c r="AW4" s="8"/>
      <c r="AX4" s="52">
        <f t="shared" si="9"/>
        <v>3</v>
      </c>
      <c r="AY4" s="8">
        <v>3</v>
      </c>
      <c r="AZ4" s="8"/>
      <c r="BA4" s="8"/>
      <c r="BB4" s="52">
        <f t="shared" si="10"/>
        <v>3</v>
      </c>
      <c r="BC4" s="8">
        <v>3</v>
      </c>
      <c r="BD4" s="8"/>
      <c r="BE4" s="8"/>
      <c r="BF4" s="52">
        <f t="shared" si="11"/>
        <v>3</v>
      </c>
      <c r="BG4" s="8">
        <v>3</v>
      </c>
      <c r="BH4" s="8"/>
      <c r="BI4" s="8"/>
      <c r="BJ4" s="52">
        <f t="shared" si="12"/>
        <v>3</v>
      </c>
      <c r="BK4" s="8">
        <v>3</v>
      </c>
      <c r="BL4" s="8"/>
      <c r="BM4" s="8"/>
      <c r="BN4" s="8">
        <v>0</v>
      </c>
      <c r="BO4" s="52">
        <f>SUM(BK4:BM4)</f>
        <v>3</v>
      </c>
      <c r="BP4" s="8"/>
      <c r="BQ4" s="8"/>
      <c r="BR4" s="8"/>
      <c r="BS4" s="8"/>
      <c r="BT4" s="84">
        <f>SUM(BP4:BR4)</f>
        <v>0</v>
      </c>
      <c r="BU4" s="88">
        <v>3</v>
      </c>
      <c r="BV4" s="8"/>
      <c r="BW4" s="8"/>
      <c r="BX4" s="8"/>
      <c r="BY4" s="87">
        <f t="shared" ref="BY4:BY31" si="16">SUM(BU4:BW4)</f>
        <v>3</v>
      </c>
      <c r="BZ4" s="91">
        <v>3</v>
      </c>
      <c r="CA4" s="8"/>
      <c r="CB4" s="8"/>
      <c r="CC4" s="8"/>
      <c r="CD4" s="87">
        <f t="shared" si="13"/>
        <v>3</v>
      </c>
      <c r="CE4" s="91">
        <v>3</v>
      </c>
      <c r="CF4" s="8"/>
      <c r="CG4" s="8"/>
      <c r="CH4" s="8"/>
      <c r="CI4" s="87">
        <f t="shared" si="14"/>
        <v>3</v>
      </c>
      <c r="CJ4" s="91"/>
      <c r="CK4" s="8"/>
      <c r="CL4" s="8"/>
      <c r="CM4" s="8"/>
      <c r="CN4" s="87">
        <f t="shared" si="15"/>
        <v>0</v>
      </c>
    </row>
    <row r="5" spans="1:92" x14ac:dyDescent="0.35">
      <c r="A5" s="8" t="s">
        <v>605</v>
      </c>
      <c r="B5" s="8" t="s">
        <v>606</v>
      </c>
      <c r="C5" s="8"/>
      <c r="D5" s="8"/>
      <c r="E5" s="8"/>
      <c r="F5" s="52"/>
      <c r="G5" s="8"/>
      <c r="H5" s="8"/>
      <c r="I5" s="8"/>
      <c r="J5" s="52"/>
      <c r="K5" s="8"/>
      <c r="L5" s="8"/>
      <c r="M5" s="8"/>
      <c r="N5" s="52"/>
      <c r="O5" s="8"/>
      <c r="P5" s="8"/>
      <c r="Q5" s="8"/>
      <c r="R5" s="52"/>
      <c r="S5" s="8"/>
      <c r="T5" s="8">
        <v>1</v>
      </c>
      <c r="U5" s="8"/>
      <c r="V5" s="52">
        <f t="shared" si="2"/>
        <v>1</v>
      </c>
      <c r="W5" s="8"/>
      <c r="X5" s="8"/>
      <c r="Y5" s="8"/>
      <c r="Z5" s="52">
        <f t="shared" si="3"/>
        <v>0</v>
      </c>
      <c r="AA5" s="8"/>
      <c r="AB5" s="8"/>
      <c r="AC5" s="8"/>
      <c r="AD5" s="52">
        <f t="shared" si="4"/>
        <v>0</v>
      </c>
      <c r="AE5" s="8"/>
      <c r="AF5" s="8"/>
      <c r="AG5" s="8"/>
      <c r="AH5" s="52">
        <f t="shared" si="5"/>
        <v>0</v>
      </c>
      <c r="AI5" s="8"/>
      <c r="AJ5" s="8"/>
      <c r="AK5" s="8"/>
      <c r="AL5" s="52">
        <f t="shared" si="6"/>
        <v>0</v>
      </c>
      <c r="AM5" s="8"/>
      <c r="AN5" s="8"/>
      <c r="AO5" s="8"/>
      <c r="AP5" s="52">
        <f t="shared" si="7"/>
        <v>0</v>
      </c>
      <c r="AQ5" s="8"/>
      <c r="AR5" s="8"/>
      <c r="AS5" s="8"/>
      <c r="AT5" s="52">
        <f t="shared" si="8"/>
        <v>0</v>
      </c>
      <c r="AU5" s="8"/>
      <c r="AV5" s="8"/>
      <c r="AW5" s="8"/>
      <c r="AX5" s="52">
        <f t="shared" si="9"/>
        <v>0</v>
      </c>
      <c r="AY5" s="8"/>
      <c r="AZ5" s="8"/>
      <c r="BA5" s="8"/>
      <c r="BB5" s="52">
        <f t="shared" si="10"/>
        <v>0</v>
      </c>
      <c r="BC5" s="8"/>
      <c r="BD5" s="8"/>
      <c r="BE5" s="8"/>
      <c r="BF5" s="52">
        <f t="shared" si="11"/>
        <v>0</v>
      </c>
      <c r="BG5" s="8"/>
      <c r="BH5" s="8"/>
      <c r="BI5" s="8"/>
      <c r="BJ5" s="52">
        <f t="shared" si="12"/>
        <v>0</v>
      </c>
      <c r="BK5" s="8"/>
      <c r="BL5" s="8"/>
      <c r="BM5" s="8"/>
      <c r="BN5" s="8">
        <v>0</v>
      </c>
      <c r="BO5" s="52">
        <f>SUM(BK5:BM5)</f>
        <v>0</v>
      </c>
      <c r="BP5" s="8"/>
      <c r="BQ5" s="8"/>
      <c r="BR5" s="8"/>
      <c r="BS5" s="8"/>
      <c r="BT5" s="84">
        <f>SUM(BP5:BR5)</f>
        <v>0</v>
      </c>
      <c r="BU5" s="88"/>
      <c r="BV5" s="8"/>
      <c r="BW5" s="8"/>
      <c r="BX5" s="8"/>
      <c r="BY5" s="87">
        <f t="shared" si="16"/>
        <v>0</v>
      </c>
      <c r="BZ5" s="91"/>
      <c r="CA5" s="8"/>
      <c r="CB5" s="8"/>
      <c r="CC5" s="8"/>
      <c r="CD5" s="87">
        <f t="shared" si="13"/>
        <v>0</v>
      </c>
      <c r="CE5" s="91"/>
      <c r="CF5" s="8"/>
      <c r="CG5" s="8"/>
      <c r="CH5" s="8"/>
      <c r="CI5" s="87">
        <f t="shared" si="14"/>
        <v>0</v>
      </c>
      <c r="CJ5" s="91"/>
      <c r="CK5" s="8"/>
      <c r="CL5" s="8"/>
      <c r="CM5" s="8"/>
      <c r="CN5" s="87">
        <f t="shared" si="15"/>
        <v>0</v>
      </c>
    </row>
    <row r="6" spans="1:92" x14ac:dyDescent="0.35">
      <c r="A6" s="8" t="s">
        <v>605</v>
      </c>
      <c r="B6" s="79" t="s">
        <v>607</v>
      </c>
      <c r="C6" s="8">
        <v>18</v>
      </c>
      <c r="D6" s="8"/>
      <c r="E6" s="8"/>
      <c r="F6" s="52">
        <f>SUM(C6:E6)</f>
        <v>18</v>
      </c>
      <c r="G6" s="8">
        <v>14</v>
      </c>
      <c r="H6" s="8"/>
      <c r="I6" s="8"/>
      <c r="J6" s="52">
        <f t="shared" si="0"/>
        <v>14</v>
      </c>
      <c r="K6" s="8">
        <v>11</v>
      </c>
      <c r="L6" s="8"/>
      <c r="M6" s="8"/>
      <c r="N6" s="52">
        <f>SUM(K6:M6)</f>
        <v>11</v>
      </c>
      <c r="O6" s="8">
        <v>11</v>
      </c>
      <c r="P6" s="8"/>
      <c r="Q6" s="8"/>
      <c r="R6" s="52">
        <f t="shared" si="1"/>
        <v>11</v>
      </c>
      <c r="S6" s="8">
        <v>11</v>
      </c>
      <c r="T6" s="8"/>
      <c r="U6" s="8"/>
      <c r="V6" s="52">
        <f t="shared" si="2"/>
        <v>11</v>
      </c>
      <c r="W6" s="8">
        <v>11</v>
      </c>
      <c r="X6" s="8"/>
      <c r="Y6" s="8"/>
      <c r="Z6" s="52">
        <f t="shared" si="3"/>
        <v>11</v>
      </c>
      <c r="AA6" s="8">
        <v>11</v>
      </c>
      <c r="AB6" s="8"/>
      <c r="AC6" s="8"/>
      <c r="AD6" s="52">
        <f t="shared" si="4"/>
        <v>11</v>
      </c>
      <c r="AE6" s="8">
        <v>10</v>
      </c>
      <c r="AF6" s="8"/>
      <c r="AG6" s="8"/>
      <c r="AH6" s="52">
        <f t="shared" si="5"/>
        <v>10</v>
      </c>
      <c r="AI6" s="8">
        <v>4</v>
      </c>
      <c r="AJ6" s="8"/>
      <c r="AK6" s="8"/>
      <c r="AL6" s="52">
        <f t="shared" si="6"/>
        <v>4</v>
      </c>
      <c r="AM6" s="8">
        <v>4</v>
      </c>
      <c r="AN6" s="8"/>
      <c r="AO6" s="8"/>
      <c r="AP6" s="52">
        <f t="shared" si="7"/>
        <v>4</v>
      </c>
      <c r="AQ6" s="8">
        <v>5</v>
      </c>
      <c r="AR6" s="8"/>
      <c r="AS6" s="8"/>
      <c r="AT6" s="52">
        <f t="shared" si="8"/>
        <v>5</v>
      </c>
      <c r="AU6" s="8">
        <v>5</v>
      </c>
      <c r="AV6" s="8"/>
      <c r="AW6" s="8"/>
      <c r="AX6" s="52">
        <f t="shared" si="9"/>
        <v>5</v>
      </c>
      <c r="AY6" s="8">
        <v>5</v>
      </c>
      <c r="AZ6" s="8"/>
      <c r="BA6" s="8"/>
      <c r="BB6" s="52">
        <f t="shared" si="10"/>
        <v>5</v>
      </c>
      <c r="BC6" s="8">
        <v>5</v>
      </c>
      <c r="BD6" s="8"/>
      <c r="BE6" s="8"/>
      <c r="BF6" s="52">
        <f t="shared" si="11"/>
        <v>5</v>
      </c>
      <c r="BG6" s="8">
        <v>2</v>
      </c>
      <c r="BH6" s="8"/>
      <c r="BI6" s="8"/>
      <c r="BJ6" s="52">
        <f t="shared" si="12"/>
        <v>2</v>
      </c>
      <c r="BK6" s="8">
        <v>2</v>
      </c>
      <c r="BL6" s="8"/>
      <c r="BM6" s="8"/>
      <c r="BN6" s="8">
        <v>0</v>
      </c>
      <c r="BO6" s="52">
        <f>SUM(BK6:BM6)</f>
        <v>2</v>
      </c>
      <c r="BP6" s="8"/>
      <c r="BQ6" s="8"/>
      <c r="BR6" s="8"/>
      <c r="BS6" s="8"/>
      <c r="BT6" s="84">
        <f>SUM(BP6:BR6)</f>
        <v>0</v>
      </c>
      <c r="BU6" s="88">
        <v>1</v>
      </c>
      <c r="BV6" s="8"/>
      <c r="BW6" s="8"/>
      <c r="BX6" s="8"/>
      <c r="BY6" s="87">
        <f t="shared" si="16"/>
        <v>1</v>
      </c>
      <c r="BZ6" s="91">
        <v>1</v>
      </c>
      <c r="CA6" s="8"/>
      <c r="CB6" s="8"/>
      <c r="CC6" s="8"/>
      <c r="CD6" s="87">
        <f t="shared" si="13"/>
        <v>1</v>
      </c>
      <c r="CE6" s="91">
        <v>1</v>
      </c>
      <c r="CF6" s="8"/>
      <c r="CG6" s="8"/>
      <c r="CH6" s="8"/>
      <c r="CI6" s="87">
        <f t="shared" si="14"/>
        <v>1</v>
      </c>
      <c r="CJ6" s="91"/>
      <c r="CK6" s="8"/>
      <c r="CL6" s="8"/>
      <c r="CM6" s="8"/>
      <c r="CN6" s="87">
        <f t="shared" si="15"/>
        <v>0</v>
      </c>
    </row>
    <row r="7" spans="1:92" x14ac:dyDescent="0.35">
      <c r="A7" s="8" t="s">
        <v>605</v>
      </c>
      <c r="B7" s="8" t="s">
        <v>60</v>
      </c>
      <c r="C7" s="8"/>
      <c r="D7" s="8"/>
      <c r="E7" s="8"/>
      <c r="F7" s="52">
        <f>SUM(C7:E7)</f>
        <v>0</v>
      </c>
      <c r="G7" s="8">
        <v>1</v>
      </c>
      <c r="H7" s="8"/>
      <c r="I7" s="8"/>
      <c r="J7" s="52">
        <f t="shared" si="0"/>
        <v>1</v>
      </c>
      <c r="K7" s="8"/>
      <c r="L7" s="8"/>
      <c r="M7" s="8"/>
      <c r="N7" s="52">
        <f>SUM(K7:M7)</f>
        <v>0</v>
      </c>
      <c r="O7" s="8"/>
      <c r="P7" s="8"/>
      <c r="Q7" s="8">
        <v>7</v>
      </c>
      <c r="R7" s="52">
        <f t="shared" si="1"/>
        <v>7</v>
      </c>
      <c r="S7" s="8"/>
      <c r="T7" s="8"/>
      <c r="U7" s="8">
        <v>7</v>
      </c>
      <c r="V7" s="52">
        <f t="shared" si="2"/>
        <v>7</v>
      </c>
      <c r="W7" s="8"/>
      <c r="X7" s="8"/>
      <c r="Y7" s="8">
        <v>4</v>
      </c>
      <c r="Z7" s="52">
        <f t="shared" si="3"/>
        <v>4</v>
      </c>
      <c r="AA7" s="8"/>
      <c r="AB7" s="8"/>
      <c r="AC7" s="8">
        <v>0</v>
      </c>
      <c r="AD7" s="52">
        <f t="shared" si="4"/>
        <v>0</v>
      </c>
      <c r="AE7" s="8"/>
      <c r="AF7" s="8"/>
      <c r="AG7" s="8">
        <v>0</v>
      </c>
      <c r="AH7" s="52">
        <f t="shared" si="5"/>
        <v>0</v>
      </c>
      <c r="AI7" s="8"/>
      <c r="AJ7" s="8"/>
      <c r="AK7" s="8"/>
      <c r="AL7" s="52">
        <f t="shared" si="6"/>
        <v>0</v>
      </c>
      <c r="AM7" s="8"/>
      <c r="AN7" s="8"/>
      <c r="AO7" s="8">
        <v>0</v>
      </c>
      <c r="AP7" s="52">
        <f t="shared" si="7"/>
        <v>0</v>
      </c>
      <c r="AQ7" s="8"/>
      <c r="AR7" s="8"/>
      <c r="AS7" s="8"/>
      <c r="AT7" s="52">
        <f t="shared" si="8"/>
        <v>0</v>
      </c>
      <c r="AU7" s="8"/>
      <c r="AV7" s="8"/>
      <c r="AW7" s="8"/>
      <c r="AX7" s="52">
        <f t="shared" si="9"/>
        <v>0</v>
      </c>
      <c r="AY7" s="8"/>
      <c r="AZ7" s="8"/>
      <c r="BA7" s="8"/>
      <c r="BB7" s="52">
        <f t="shared" si="10"/>
        <v>0</v>
      </c>
      <c r="BC7" s="8"/>
      <c r="BD7" s="8"/>
      <c r="BE7" s="8"/>
      <c r="BF7" s="52">
        <f t="shared" si="11"/>
        <v>0</v>
      </c>
      <c r="BG7" s="8">
        <v>2</v>
      </c>
      <c r="BH7" s="8"/>
      <c r="BI7" s="8">
        <v>1</v>
      </c>
      <c r="BJ7" s="52">
        <f t="shared" si="12"/>
        <v>3</v>
      </c>
      <c r="BK7" s="8">
        <v>2</v>
      </c>
      <c r="BL7" s="8"/>
      <c r="BM7" s="8">
        <v>1</v>
      </c>
      <c r="BN7" s="8">
        <v>0</v>
      </c>
      <c r="BO7" s="52">
        <f>SUM(BK7:BN7)</f>
        <v>3</v>
      </c>
      <c r="BP7" s="8"/>
      <c r="BQ7" s="8"/>
      <c r="BR7" s="8"/>
      <c r="BS7" s="8"/>
      <c r="BT7" s="84">
        <f>SUM(BP7:BS7)</f>
        <v>0</v>
      </c>
      <c r="BU7" s="88">
        <v>3</v>
      </c>
      <c r="BV7" s="8"/>
      <c r="BW7" s="8"/>
      <c r="BX7" s="8">
        <v>3</v>
      </c>
      <c r="BY7" s="87">
        <f t="shared" si="16"/>
        <v>3</v>
      </c>
      <c r="BZ7" s="91">
        <v>1</v>
      </c>
      <c r="CA7" s="8"/>
      <c r="CB7" s="8"/>
      <c r="CC7" s="8">
        <v>2</v>
      </c>
      <c r="CD7" s="87">
        <f t="shared" si="13"/>
        <v>1</v>
      </c>
      <c r="CE7" s="91">
        <v>1</v>
      </c>
      <c r="CF7" s="8">
        <v>1</v>
      </c>
      <c r="CG7" s="8"/>
      <c r="CH7" s="8">
        <v>2</v>
      </c>
      <c r="CI7" s="87">
        <f t="shared" si="14"/>
        <v>2</v>
      </c>
      <c r="CJ7" s="91"/>
      <c r="CK7" s="8"/>
      <c r="CL7" s="8"/>
      <c r="CM7" s="8"/>
      <c r="CN7" s="87">
        <f t="shared" si="15"/>
        <v>0</v>
      </c>
    </row>
    <row r="8" spans="1:92" x14ac:dyDescent="0.35">
      <c r="A8" s="8" t="s">
        <v>410</v>
      </c>
      <c r="B8" s="8" t="s">
        <v>112</v>
      </c>
      <c r="C8" s="8"/>
      <c r="D8" s="8"/>
      <c r="E8" s="8"/>
      <c r="F8" s="52"/>
      <c r="G8" s="8"/>
      <c r="H8" s="8"/>
      <c r="I8" s="8"/>
      <c r="J8" s="52"/>
      <c r="K8" s="8"/>
      <c r="L8" s="8"/>
      <c r="M8" s="8"/>
      <c r="N8" s="52"/>
      <c r="O8" s="8"/>
      <c r="P8" s="8"/>
      <c r="Q8" s="8"/>
      <c r="R8" s="52"/>
      <c r="S8" s="8"/>
      <c r="T8" s="8"/>
      <c r="U8" s="8"/>
      <c r="V8" s="52"/>
      <c r="W8" s="8"/>
      <c r="X8" s="8"/>
      <c r="Y8" s="8"/>
      <c r="Z8" s="52"/>
      <c r="AA8" s="8"/>
      <c r="AB8" s="8"/>
      <c r="AC8" s="8"/>
      <c r="AD8" s="52"/>
      <c r="AE8" s="8"/>
      <c r="AF8" s="8"/>
      <c r="AG8" s="8"/>
      <c r="AH8" s="52"/>
      <c r="AI8" s="8"/>
      <c r="AJ8" s="8"/>
      <c r="AK8" s="8"/>
      <c r="AL8" s="52"/>
      <c r="AM8" s="8"/>
      <c r="AN8" s="8"/>
      <c r="AO8" s="8"/>
      <c r="AP8" s="52"/>
      <c r="AQ8" s="8"/>
      <c r="AR8" s="8"/>
      <c r="AS8" s="8"/>
      <c r="AT8" s="52">
        <f t="shared" si="8"/>
        <v>0</v>
      </c>
      <c r="AU8" s="8"/>
      <c r="AV8" s="8"/>
      <c r="AW8" s="8"/>
      <c r="AX8" s="52">
        <f t="shared" si="9"/>
        <v>0</v>
      </c>
      <c r="AY8" s="8"/>
      <c r="AZ8" s="8"/>
      <c r="BA8" s="8"/>
      <c r="BB8" s="52">
        <f t="shared" si="10"/>
        <v>0</v>
      </c>
      <c r="BC8" s="8"/>
      <c r="BD8" s="8"/>
      <c r="BE8" s="8"/>
      <c r="BF8" s="52">
        <f t="shared" si="11"/>
        <v>0</v>
      </c>
      <c r="BG8" s="8">
        <v>2</v>
      </c>
      <c r="BH8" s="8"/>
      <c r="BI8" s="8"/>
      <c r="BJ8" s="52">
        <f t="shared" si="12"/>
        <v>2</v>
      </c>
      <c r="BK8" s="8">
        <v>2</v>
      </c>
      <c r="BL8" s="8"/>
      <c r="BM8" s="8"/>
      <c r="BN8" s="8">
        <v>0</v>
      </c>
      <c r="BO8" s="52">
        <f>SUM(BK8:BM8)</f>
        <v>2</v>
      </c>
      <c r="BP8" s="8"/>
      <c r="BQ8" s="8"/>
      <c r="BR8" s="8"/>
      <c r="BS8" s="8"/>
      <c r="BT8" s="84">
        <f>SUM(BP8:BR8)</f>
        <v>0</v>
      </c>
      <c r="BU8" s="88"/>
      <c r="BV8" s="8"/>
      <c r="BW8" s="8"/>
      <c r="BX8" s="8"/>
      <c r="BY8" s="87">
        <f t="shared" si="16"/>
        <v>0</v>
      </c>
      <c r="BZ8" s="91"/>
      <c r="CA8" s="8"/>
      <c r="CB8" s="8"/>
      <c r="CC8" s="8"/>
      <c r="CD8" s="87">
        <f t="shared" si="13"/>
        <v>0</v>
      </c>
      <c r="CE8" s="91"/>
      <c r="CF8" s="8"/>
      <c r="CG8" s="8"/>
      <c r="CH8" s="8"/>
      <c r="CI8" s="87">
        <f t="shared" si="14"/>
        <v>0</v>
      </c>
      <c r="CJ8" s="91"/>
      <c r="CK8" s="8"/>
      <c r="CL8" s="8"/>
      <c r="CM8" s="8"/>
      <c r="CN8" s="87">
        <f t="shared" si="15"/>
        <v>0</v>
      </c>
    </row>
    <row r="9" spans="1:92" x14ac:dyDescent="0.35">
      <c r="A9" s="8" t="s">
        <v>410</v>
      </c>
      <c r="B9" s="8" t="s">
        <v>60</v>
      </c>
      <c r="C9" s="8"/>
      <c r="D9" s="8"/>
      <c r="E9" s="8"/>
      <c r="F9" s="52"/>
      <c r="G9" s="8"/>
      <c r="H9" s="8"/>
      <c r="I9" s="8"/>
      <c r="J9" s="52"/>
      <c r="K9" s="8"/>
      <c r="L9" s="8"/>
      <c r="M9" s="8"/>
      <c r="N9" s="52"/>
      <c r="O9" s="8"/>
      <c r="P9" s="8"/>
      <c r="Q9" s="8"/>
      <c r="R9" s="52"/>
      <c r="S9" s="8"/>
      <c r="T9" s="8"/>
      <c r="U9" s="8"/>
      <c r="V9" s="52"/>
      <c r="W9" s="8"/>
      <c r="X9" s="8"/>
      <c r="Y9" s="8"/>
      <c r="Z9" s="52"/>
      <c r="AA9" s="8"/>
      <c r="AB9" s="8"/>
      <c r="AC9" s="8"/>
      <c r="AD9" s="52"/>
      <c r="AE9" s="8"/>
      <c r="AF9" s="8"/>
      <c r="AG9" s="8"/>
      <c r="AH9" s="52"/>
      <c r="AI9" s="8"/>
      <c r="AJ9" s="8"/>
      <c r="AK9" s="8"/>
      <c r="AL9" s="52"/>
      <c r="AM9" s="8"/>
      <c r="AN9" s="8"/>
      <c r="AO9" s="8"/>
      <c r="AP9" s="52"/>
      <c r="AQ9" s="8"/>
      <c r="AR9" s="8"/>
      <c r="AS9" s="8"/>
      <c r="AT9" s="52">
        <f t="shared" si="8"/>
        <v>0</v>
      </c>
      <c r="AU9" s="8"/>
      <c r="AV9" s="8"/>
      <c r="AW9" s="8"/>
      <c r="AX9" s="52">
        <f t="shared" si="9"/>
        <v>0</v>
      </c>
      <c r="AY9" s="8"/>
      <c r="AZ9" s="8"/>
      <c r="BA9" s="8"/>
      <c r="BB9" s="52">
        <f t="shared" si="10"/>
        <v>0</v>
      </c>
      <c r="BC9" s="8"/>
      <c r="BD9" s="8"/>
      <c r="BE9" s="8"/>
      <c r="BF9" s="52">
        <f t="shared" si="11"/>
        <v>0</v>
      </c>
      <c r="BG9" s="8">
        <v>2</v>
      </c>
      <c r="BH9" s="8"/>
      <c r="BI9" s="8"/>
      <c r="BJ9" s="52">
        <f t="shared" si="12"/>
        <v>2</v>
      </c>
      <c r="BK9" s="8">
        <v>2</v>
      </c>
      <c r="BL9" s="8"/>
      <c r="BM9" s="8"/>
      <c r="BN9" s="8">
        <v>0</v>
      </c>
      <c r="BO9" s="52">
        <f>SUM(BK9:BM9)</f>
        <v>2</v>
      </c>
      <c r="BP9" s="8"/>
      <c r="BQ9" s="8"/>
      <c r="BR9" s="8"/>
      <c r="BS9" s="8"/>
      <c r="BT9" s="84">
        <f>SUM(BP9:BR9)</f>
        <v>0</v>
      </c>
      <c r="BU9" s="88"/>
      <c r="BV9" s="8"/>
      <c r="BW9" s="8"/>
      <c r="BX9" s="8"/>
      <c r="BY9" s="87">
        <f t="shared" si="16"/>
        <v>0</v>
      </c>
      <c r="BZ9" s="91"/>
      <c r="CA9" s="8"/>
      <c r="CB9" s="8"/>
      <c r="CC9" s="8"/>
      <c r="CD9" s="87">
        <f t="shared" si="13"/>
        <v>0</v>
      </c>
      <c r="CE9" s="91"/>
      <c r="CF9" s="8"/>
      <c r="CG9" s="8"/>
      <c r="CH9" s="8"/>
      <c r="CI9" s="87">
        <f t="shared" si="14"/>
        <v>0</v>
      </c>
      <c r="CJ9" s="91"/>
      <c r="CK9" s="8"/>
      <c r="CL9" s="8"/>
      <c r="CM9" s="8"/>
      <c r="CN9" s="87">
        <f t="shared" si="15"/>
        <v>0</v>
      </c>
    </row>
    <row r="10" spans="1:92" x14ac:dyDescent="0.35">
      <c r="A10" s="8" t="s">
        <v>410</v>
      </c>
      <c r="B10" s="8" t="s">
        <v>411</v>
      </c>
      <c r="C10" s="8">
        <v>4</v>
      </c>
      <c r="D10" s="8"/>
      <c r="E10" s="8"/>
      <c r="F10" s="52">
        <f t="shared" ref="F10:F31" si="17">SUM(C10:E10)</f>
        <v>4</v>
      </c>
      <c r="G10" s="8">
        <v>4</v>
      </c>
      <c r="H10" s="8"/>
      <c r="I10" s="8"/>
      <c r="J10" s="52">
        <f t="shared" si="0"/>
        <v>4</v>
      </c>
      <c r="K10" s="8">
        <v>4</v>
      </c>
      <c r="L10" s="8"/>
      <c r="M10" s="8"/>
      <c r="N10" s="52">
        <f t="shared" ref="N10:N15" si="18">SUM(K10:M10)</f>
        <v>4</v>
      </c>
      <c r="O10" s="8">
        <v>4</v>
      </c>
      <c r="P10" s="8"/>
      <c r="Q10" s="8"/>
      <c r="R10" s="52">
        <f t="shared" si="1"/>
        <v>4</v>
      </c>
      <c r="S10" s="8">
        <v>4</v>
      </c>
      <c r="T10" s="8"/>
      <c r="U10" s="8"/>
      <c r="V10" s="52">
        <f t="shared" si="2"/>
        <v>4</v>
      </c>
      <c r="W10" s="8">
        <v>4</v>
      </c>
      <c r="X10" s="8"/>
      <c r="Y10" s="8"/>
      <c r="Z10" s="52">
        <f t="shared" si="3"/>
        <v>4</v>
      </c>
      <c r="AA10" s="8">
        <v>4</v>
      </c>
      <c r="AB10" s="8"/>
      <c r="AC10" s="8"/>
      <c r="AD10" s="52">
        <f t="shared" si="4"/>
        <v>4</v>
      </c>
      <c r="AE10" s="8">
        <v>4</v>
      </c>
      <c r="AF10" s="8"/>
      <c r="AG10" s="8"/>
      <c r="AH10" s="52">
        <f t="shared" si="5"/>
        <v>4</v>
      </c>
      <c r="AI10" s="8">
        <v>4</v>
      </c>
      <c r="AJ10" s="8"/>
      <c r="AK10" s="8"/>
      <c r="AL10" s="52">
        <f t="shared" si="6"/>
        <v>4</v>
      </c>
      <c r="AM10" s="8">
        <v>6</v>
      </c>
      <c r="AN10" s="8"/>
      <c r="AO10" s="8"/>
      <c r="AP10" s="52">
        <f t="shared" si="7"/>
        <v>6</v>
      </c>
      <c r="AQ10" s="8">
        <v>5</v>
      </c>
      <c r="AR10" s="8"/>
      <c r="AS10" s="8">
        <v>2</v>
      </c>
      <c r="AT10" s="52">
        <f t="shared" si="8"/>
        <v>7</v>
      </c>
      <c r="AU10" s="8">
        <v>4</v>
      </c>
      <c r="AV10" s="8"/>
      <c r="AW10" s="8">
        <v>2</v>
      </c>
      <c r="AX10" s="52">
        <f t="shared" si="9"/>
        <v>6</v>
      </c>
      <c r="AY10" s="8">
        <v>4</v>
      </c>
      <c r="AZ10" s="8"/>
      <c r="BA10" s="8">
        <v>2</v>
      </c>
      <c r="BB10" s="52">
        <f t="shared" si="10"/>
        <v>6</v>
      </c>
      <c r="BC10" s="8">
        <v>4</v>
      </c>
      <c r="BD10" s="8"/>
      <c r="BE10" s="8">
        <v>2</v>
      </c>
      <c r="BF10" s="52">
        <f t="shared" si="11"/>
        <v>6</v>
      </c>
      <c r="BG10" s="8">
        <v>3</v>
      </c>
      <c r="BH10" s="8"/>
      <c r="BI10" s="8">
        <v>1</v>
      </c>
      <c r="BJ10" s="52">
        <f t="shared" si="12"/>
        <v>4</v>
      </c>
      <c r="BK10" s="8">
        <v>3</v>
      </c>
      <c r="BL10" s="8"/>
      <c r="BM10" s="8">
        <v>1</v>
      </c>
      <c r="BN10" s="8">
        <v>0</v>
      </c>
      <c r="BO10" s="52">
        <f>SUM(BK10:BN10)</f>
        <v>4</v>
      </c>
      <c r="BP10" s="8"/>
      <c r="BQ10" s="8"/>
      <c r="BR10" s="8"/>
      <c r="BS10" s="8"/>
      <c r="BT10" s="84">
        <f>SUM(BP10:BS10)</f>
        <v>0</v>
      </c>
      <c r="BU10" s="88">
        <v>4</v>
      </c>
      <c r="BV10" s="8"/>
      <c r="BW10" s="8">
        <v>1</v>
      </c>
      <c r="BX10" s="8"/>
      <c r="BY10" s="87">
        <f t="shared" si="16"/>
        <v>5</v>
      </c>
      <c r="BZ10" s="91">
        <v>5</v>
      </c>
      <c r="CA10" s="8"/>
      <c r="CB10" s="8">
        <v>1</v>
      </c>
      <c r="CC10" s="8"/>
      <c r="CD10" s="87">
        <f t="shared" si="13"/>
        <v>6</v>
      </c>
      <c r="CE10" s="91">
        <v>5</v>
      </c>
      <c r="CF10" s="8"/>
      <c r="CG10" s="8">
        <v>2</v>
      </c>
      <c r="CH10" s="8"/>
      <c r="CI10" s="87">
        <f t="shared" si="14"/>
        <v>7</v>
      </c>
      <c r="CJ10" s="91"/>
      <c r="CK10" s="8"/>
      <c r="CL10" s="8"/>
      <c r="CM10" s="8"/>
      <c r="CN10" s="87">
        <f t="shared" si="15"/>
        <v>0</v>
      </c>
    </row>
    <row r="11" spans="1:92" x14ac:dyDescent="0.35">
      <c r="A11" s="8" t="s">
        <v>410</v>
      </c>
      <c r="B11" s="79" t="s">
        <v>607</v>
      </c>
      <c r="C11" s="8">
        <v>13</v>
      </c>
      <c r="D11" s="8"/>
      <c r="E11" s="8"/>
      <c r="F11" s="52">
        <f t="shared" si="17"/>
        <v>13</v>
      </c>
      <c r="G11" s="8">
        <v>13</v>
      </c>
      <c r="H11" s="8"/>
      <c r="I11" s="8"/>
      <c r="J11" s="52">
        <f t="shared" si="0"/>
        <v>13</v>
      </c>
      <c r="K11" s="8">
        <v>12</v>
      </c>
      <c r="L11" s="8"/>
      <c r="M11" s="8"/>
      <c r="N11" s="52">
        <f t="shared" si="18"/>
        <v>12</v>
      </c>
      <c r="O11" s="8">
        <v>11</v>
      </c>
      <c r="P11" s="8"/>
      <c r="Q11" s="8"/>
      <c r="R11" s="52">
        <f t="shared" si="1"/>
        <v>11</v>
      </c>
      <c r="S11" s="8">
        <v>11</v>
      </c>
      <c r="T11" s="8"/>
      <c r="U11" s="8"/>
      <c r="V11" s="52">
        <f>SUM(S11:U11)</f>
        <v>11</v>
      </c>
      <c r="W11" s="8">
        <v>15</v>
      </c>
      <c r="X11" s="8"/>
      <c r="Y11" s="8"/>
      <c r="Z11" s="52">
        <f>SUM(W11:Y11)</f>
        <v>15</v>
      </c>
      <c r="AA11" s="8">
        <v>25</v>
      </c>
      <c r="AB11" s="8"/>
      <c r="AC11" s="8"/>
      <c r="AD11" s="52">
        <f t="shared" si="4"/>
        <v>25</v>
      </c>
      <c r="AE11" s="8">
        <v>25</v>
      </c>
      <c r="AF11" s="8"/>
      <c r="AG11" s="8"/>
      <c r="AH11" s="52">
        <f t="shared" si="5"/>
        <v>25</v>
      </c>
      <c r="AI11" s="8">
        <f>29-9</f>
        <v>20</v>
      </c>
      <c r="AJ11" s="8"/>
      <c r="AK11" s="8"/>
      <c r="AL11" s="52">
        <f t="shared" si="6"/>
        <v>20</v>
      </c>
      <c r="AM11" s="8">
        <v>20</v>
      </c>
      <c r="AN11" s="8"/>
      <c r="AO11" s="8"/>
      <c r="AP11" s="52">
        <f t="shared" si="7"/>
        <v>20</v>
      </c>
      <c r="AQ11" s="8">
        <v>9</v>
      </c>
      <c r="AR11" s="8"/>
      <c r="AS11" s="8"/>
      <c r="AT11" s="52">
        <f t="shared" si="8"/>
        <v>9</v>
      </c>
      <c r="AU11" s="8">
        <v>9</v>
      </c>
      <c r="AV11" s="8"/>
      <c r="AW11" s="8"/>
      <c r="AX11" s="52">
        <f t="shared" si="9"/>
        <v>9</v>
      </c>
      <c r="AY11" s="8">
        <v>8</v>
      </c>
      <c r="AZ11" s="8"/>
      <c r="BA11" s="8"/>
      <c r="BB11" s="52">
        <f t="shared" si="10"/>
        <v>8</v>
      </c>
      <c r="BC11" s="8">
        <f>BB11-3</f>
        <v>5</v>
      </c>
      <c r="BD11" s="8"/>
      <c r="BE11" s="8"/>
      <c r="BF11" s="52">
        <f t="shared" si="11"/>
        <v>5</v>
      </c>
      <c r="BG11" s="8">
        <v>5</v>
      </c>
      <c r="BH11" s="8"/>
      <c r="BI11" s="8"/>
      <c r="BJ11" s="52">
        <f t="shared" si="12"/>
        <v>5</v>
      </c>
      <c r="BK11" s="8">
        <v>4</v>
      </c>
      <c r="BL11" s="8"/>
      <c r="BM11" s="8"/>
      <c r="BN11" s="8">
        <v>0</v>
      </c>
      <c r="BO11" s="52">
        <f>SUM(BK11:BM11)</f>
        <v>4</v>
      </c>
      <c r="BP11" s="8"/>
      <c r="BQ11" s="8"/>
      <c r="BR11" s="8"/>
      <c r="BS11" s="8"/>
      <c r="BT11" s="84">
        <f>SUM(BP11:BR11)</f>
        <v>0</v>
      </c>
      <c r="BU11" s="88">
        <v>2</v>
      </c>
      <c r="BV11" s="8"/>
      <c r="BW11" s="8"/>
      <c r="BX11" s="8"/>
      <c r="BY11" s="87">
        <f t="shared" si="16"/>
        <v>2</v>
      </c>
      <c r="BZ11" s="91">
        <v>2</v>
      </c>
      <c r="CA11" s="8"/>
      <c r="CB11" s="8"/>
      <c r="CC11" s="8"/>
      <c r="CD11" s="87">
        <f t="shared" si="13"/>
        <v>2</v>
      </c>
      <c r="CE11" s="91">
        <v>2</v>
      </c>
      <c r="CF11" s="8"/>
      <c r="CG11" s="8"/>
      <c r="CH11" s="8"/>
      <c r="CI11" s="87">
        <f t="shared" si="14"/>
        <v>2</v>
      </c>
      <c r="CJ11" s="91"/>
      <c r="CK11" s="8"/>
      <c r="CL11" s="8"/>
      <c r="CM11" s="8"/>
      <c r="CN11" s="87">
        <f t="shared" si="15"/>
        <v>0</v>
      </c>
    </row>
    <row r="12" spans="1:92" x14ac:dyDescent="0.35">
      <c r="A12" s="8" t="s">
        <v>410</v>
      </c>
      <c r="B12" s="8" t="s">
        <v>9</v>
      </c>
      <c r="C12" s="8">
        <v>13</v>
      </c>
      <c r="D12" s="8"/>
      <c r="E12" s="8"/>
      <c r="F12" s="52">
        <f t="shared" ref="F12" si="19">SUM(C12:E12)</f>
        <v>13</v>
      </c>
      <c r="G12" s="8">
        <v>13</v>
      </c>
      <c r="H12" s="8"/>
      <c r="I12" s="8"/>
      <c r="J12" s="52">
        <f t="shared" ref="J12" si="20">SUM(G12:I12)</f>
        <v>13</v>
      </c>
      <c r="K12" s="8">
        <v>12</v>
      </c>
      <c r="L12" s="8"/>
      <c r="M12" s="8"/>
      <c r="N12" s="52">
        <f t="shared" ref="N12" si="21">SUM(K12:M12)</f>
        <v>12</v>
      </c>
      <c r="O12" s="8"/>
      <c r="P12" s="8"/>
      <c r="Q12" s="8"/>
      <c r="R12" s="52"/>
      <c r="S12" s="8"/>
      <c r="T12" s="8"/>
      <c r="U12" s="8"/>
      <c r="V12" s="52"/>
      <c r="W12" s="8"/>
      <c r="X12" s="8"/>
      <c r="Y12" s="8"/>
      <c r="Z12" s="52"/>
      <c r="AA12" s="8"/>
      <c r="AB12" s="8"/>
      <c r="AC12" s="8"/>
      <c r="AD12" s="52"/>
      <c r="AE12" s="8"/>
      <c r="AF12" s="8"/>
      <c r="AG12" s="8"/>
      <c r="AH12" s="52"/>
      <c r="AI12" s="8"/>
      <c r="AJ12" s="8"/>
      <c r="AK12" s="8"/>
      <c r="AL12" s="52"/>
      <c r="AM12" s="8">
        <v>1</v>
      </c>
      <c r="AN12" s="8"/>
      <c r="AO12" s="8"/>
      <c r="AP12" s="52">
        <f t="shared" ref="AP12" si="22">SUM(AM12:AO12)</f>
        <v>1</v>
      </c>
      <c r="AQ12" s="8">
        <v>1</v>
      </c>
      <c r="AR12" s="8"/>
      <c r="AS12" s="8"/>
      <c r="AT12" s="52">
        <f t="shared" si="8"/>
        <v>1</v>
      </c>
      <c r="AU12" s="8">
        <v>1</v>
      </c>
      <c r="AV12" s="8"/>
      <c r="AW12" s="8"/>
      <c r="AX12" s="52">
        <f t="shared" si="9"/>
        <v>1</v>
      </c>
      <c r="AY12" s="8">
        <v>1</v>
      </c>
      <c r="AZ12" s="8"/>
      <c r="BA12" s="8"/>
      <c r="BB12" s="52">
        <f t="shared" si="10"/>
        <v>1</v>
      </c>
      <c r="BC12" s="8">
        <v>1</v>
      </c>
      <c r="BD12" s="8"/>
      <c r="BE12" s="8"/>
      <c r="BF12" s="52">
        <f t="shared" si="11"/>
        <v>1</v>
      </c>
      <c r="BG12" s="8">
        <v>1</v>
      </c>
      <c r="BH12" s="8">
        <v>1</v>
      </c>
      <c r="BI12" s="8"/>
      <c r="BJ12" s="52">
        <f t="shared" si="12"/>
        <v>2</v>
      </c>
      <c r="BK12" s="8">
        <v>2</v>
      </c>
      <c r="BL12" s="8"/>
      <c r="BM12" s="8"/>
      <c r="BN12" s="8">
        <v>0</v>
      </c>
      <c r="BO12" s="52">
        <f>SUM(BK12:BM12)</f>
        <v>2</v>
      </c>
      <c r="BP12" s="8"/>
      <c r="BQ12" s="8"/>
      <c r="BR12" s="8"/>
      <c r="BS12" s="8"/>
      <c r="BT12" s="84">
        <f>SUM(BP12:BR12)</f>
        <v>0</v>
      </c>
      <c r="BU12" s="88"/>
      <c r="BV12" s="8"/>
      <c r="BW12" s="8">
        <v>2</v>
      </c>
      <c r="BX12" s="8"/>
      <c r="BY12" s="87">
        <f t="shared" si="16"/>
        <v>2</v>
      </c>
      <c r="BZ12" s="91"/>
      <c r="CA12" s="8"/>
      <c r="CB12" s="8">
        <v>2</v>
      </c>
      <c r="CC12" s="8"/>
      <c r="CD12" s="87">
        <f t="shared" si="13"/>
        <v>2</v>
      </c>
      <c r="CE12" s="91"/>
      <c r="CF12" s="8"/>
      <c r="CG12" s="8"/>
      <c r="CH12" s="8"/>
      <c r="CI12" s="87">
        <f t="shared" si="14"/>
        <v>0</v>
      </c>
      <c r="CJ12" s="91"/>
      <c r="CK12" s="8"/>
      <c r="CL12" s="8"/>
      <c r="CM12" s="8"/>
      <c r="CN12" s="87">
        <f t="shared" si="15"/>
        <v>0</v>
      </c>
    </row>
    <row r="13" spans="1:92" x14ac:dyDescent="0.35">
      <c r="A13" s="8" t="s">
        <v>410</v>
      </c>
      <c r="B13" s="8" t="s">
        <v>417</v>
      </c>
      <c r="C13" s="8"/>
      <c r="D13" s="8"/>
      <c r="E13" s="8"/>
      <c r="F13" s="52"/>
      <c r="G13" s="8"/>
      <c r="H13" s="8"/>
      <c r="I13" s="8"/>
      <c r="J13" s="52"/>
      <c r="K13" s="8"/>
      <c r="L13" s="8"/>
      <c r="M13" s="8"/>
      <c r="N13" s="52"/>
      <c r="O13" s="8"/>
      <c r="P13" s="8"/>
      <c r="Q13" s="8"/>
      <c r="R13" s="52"/>
      <c r="S13" s="8"/>
      <c r="T13" s="8"/>
      <c r="U13" s="8"/>
      <c r="V13" s="52"/>
      <c r="W13" s="8"/>
      <c r="X13" s="8"/>
      <c r="Y13" s="8"/>
      <c r="Z13" s="52"/>
      <c r="AA13" s="8"/>
      <c r="AB13" s="8"/>
      <c r="AC13" s="8"/>
      <c r="AD13" s="52"/>
      <c r="AE13" s="8"/>
      <c r="AF13" s="8"/>
      <c r="AG13" s="8"/>
      <c r="AH13" s="52"/>
      <c r="AI13" s="8"/>
      <c r="AJ13" s="8"/>
      <c r="AK13" s="8"/>
      <c r="AL13" s="52"/>
      <c r="AM13" s="8"/>
      <c r="AN13" s="8"/>
      <c r="AO13" s="8"/>
      <c r="AP13" s="52"/>
      <c r="AQ13" s="8"/>
      <c r="AR13" s="8"/>
      <c r="AS13" s="8">
        <v>1</v>
      </c>
      <c r="AT13" s="52">
        <f t="shared" si="8"/>
        <v>1</v>
      </c>
      <c r="AU13" s="8"/>
      <c r="AV13" s="8"/>
      <c r="AW13" s="8">
        <v>1</v>
      </c>
      <c r="AX13" s="52">
        <f t="shared" si="9"/>
        <v>1</v>
      </c>
      <c r="AY13" s="8"/>
      <c r="AZ13" s="8"/>
      <c r="BA13" s="8"/>
      <c r="BB13" s="52">
        <f t="shared" si="10"/>
        <v>0</v>
      </c>
      <c r="BC13" s="8"/>
      <c r="BD13" s="8"/>
      <c r="BE13" s="8"/>
      <c r="BF13" s="52">
        <f t="shared" si="11"/>
        <v>0</v>
      </c>
      <c r="BG13" s="8"/>
      <c r="BH13" s="8"/>
      <c r="BI13" s="8"/>
      <c r="BJ13" s="52">
        <f t="shared" si="12"/>
        <v>0</v>
      </c>
      <c r="BK13" s="8"/>
      <c r="BL13" s="8"/>
      <c r="BM13" s="8"/>
      <c r="BN13" s="8">
        <v>0</v>
      </c>
      <c r="BO13" s="52">
        <f>SUM(BK13:BM13)</f>
        <v>0</v>
      </c>
      <c r="BP13" s="8"/>
      <c r="BQ13" s="8"/>
      <c r="BR13" s="8"/>
      <c r="BS13" s="8"/>
      <c r="BT13" s="84">
        <f>SUM(BP13:BR13)</f>
        <v>0</v>
      </c>
      <c r="BU13" s="88"/>
      <c r="BV13" s="8"/>
      <c r="BW13" s="8"/>
      <c r="BX13" s="8"/>
      <c r="BY13" s="87">
        <f t="shared" si="16"/>
        <v>0</v>
      </c>
      <c r="BZ13" s="91"/>
      <c r="CA13" s="8"/>
      <c r="CB13" s="8"/>
      <c r="CC13" s="8"/>
      <c r="CD13" s="87">
        <f t="shared" si="13"/>
        <v>0</v>
      </c>
      <c r="CE13" s="91"/>
      <c r="CF13" s="8"/>
      <c r="CG13" s="8"/>
      <c r="CH13" s="8"/>
      <c r="CI13" s="87">
        <f t="shared" si="14"/>
        <v>0</v>
      </c>
      <c r="CJ13" s="91"/>
      <c r="CK13" s="8"/>
      <c r="CL13" s="8"/>
      <c r="CM13" s="8"/>
      <c r="CN13" s="87">
        <f t="shared" si="15"/>
        <v>0</v>
      </c>
    </row>
    <row r="14" spans="1:92" x14ac:dyDescent="0.35">
      <c r="A14" s="8" t="s">
        <v>608</v>
      </c>
      <c r="B14" s="8" t="s">
        <v>112</v>
      </c>
      <c r="C14" s="8"/>
      <c r="D14" s="8"/>
      <c r="E14" s="8"/>
      <c r="F14" s="52"/>
      <c r="G14" s="8"/>
      <c r="H14" s="8"/>
      <c r="I14" s="8"/>
      <c r="J14" s="52"/>
      <c r="K14" s="8"/>
      <c r="L14" s="8"/>
      <c r="M14" s="8"/>
      <c r="N14" s="52"/>
      <c r="O14" s="8"/>
      <c r="P14" s="8"/>
      <c r="Q14" s="8"/>
      <c r="R14" s="52"/>
      <c r="S14" s="8"/>
      <c r="T14" s="8"/>
      <c r="U14" s="8"/>
      <c r="V14" s="52"/>
      <c r="W14" s="8"/>
      <c r="X14" s="8"/>
      <c r="Y14" s="8"/>
      <c r="Z14" s="52"/>
      <c r="AA14" s="8"/>
      <c r="AB14" s="8"/>
      <c r="AC14" s="8"/>
      <c r="AD14" s="52"/>
      <c r="AE14" s="8"/>
      <c r="AF14" s="8"/>
      <c r="AG14" s="8"/>
      <c r="AH14" s="52"/>
      <c r="AI14" s="8"/>
      <c r="AJ14" s="8"/>
      <c r="AK14" s="8"/>
      <c r="AL14" s="52"/>
      <c r="AM14" s="8"/>
      <c r="AN14" s="8"/>
      <c r="AO14" s="8"/>
      <c r="AP14" s="52"/>
      <c r="AQ14" s="8"/>
      <c r="AR14" s="8"/>
      <c r="AS14" s="8"/>
      <c r="AT14" s="52">
        <f t="shared" si="8"/>
        <v>0</v>
      </c>
      <c r="AU14" s="8"/>
      <c r="AV14" s="8"/>
      <c r="AW14" s="8"/>
      <c r="AX14" s="52">
        <f t="shared" si="9"/>
        <v>0</v>
      </c>
      <c r="AY14" s="8"/>
      <c r="AZ14" s="8"/>
      <c r="BA14" s="8"/>
      <c r="BB14" s="52">
        <f t="shared" si="10"/>
        <v>0</v>
      </c>
      <c r="BC14" s="8"/>
      <c r="BD14" s="8"/>
      <c r="BE14" s="8"/>
      <c r="BF14" s="52">
        <f t="shared" si="11"/>
        <v>0</v>
      </c>
      <c r="BG14" s="8">
        <v>1</v>
      </c>
      <c r="BH14" s="8"/>
      <c r="BI14" s="8"/>
      <c r="BJ14" s="52">
        <f t="shared" si="12"/>
        <v>1</v>
      </c>
      <c r="BK14" s="8">
        <v>1</v>
      </c>
      <c r="BL14" s="8"/>
      <c r="BM14" s="8"/>
      <c r="BN14" s="8">
        <v>0</v>
      </c>
      <c r="BO14" s="52">
        <f>SUM(BK14:BM14)</f>
        <v>1</v>
      </c>
      <c r="BP14" s="8"/>
      <c r="BQ14" s="8"/>
      <c r="BR14" s="8"/>
      <c r="BS14" s="8"/>
      <c r="BT14" s="84">
        <f>SUM(BP14:BR14)</f>
        <v>0</v>
      </c>
      <c r="BU14" s="88">
        <v>1</v>
      </c>
      <c r="BV14" s="8"/>
      <c r="BW14" s="8"/>
      <c r="BX14" s="8"/>
      <c r="BY14" s="87">
        <f t="shared" si="16"/>
        <v>1</v>
      </c>
      <c r="BZ14" s="91">
        <v>1</v>
      </c>
      <c r="CA14" s="8"/>
      <c r="CB14" s="8"/>
      <c r="CC14" s="8"/>
      <c r="CD14" s="87">
        <f t="shared" si="13"/>
        <v>1</v>
      </c>
      <c r="CE14" s="91">
        <v>1</v>
      </c>
      <c r="CF14" s="8"/>
      <c r="CG14" s="8"/>
      <c r="CH14" s="8"/>
      <c r="CI14" s="87">
        <f t="shared" si="14"/>
        <v>1</v>
      </c>
      <c r="CJ14" s="91"/>
      <c r="CK14" s="8"/>
      <c r="CL14" s="8"/>
      <c r="CM14" s="8"/>
      <c r="CN14" s="87">
        <f t="shared" si="15"/>
        <v>0</v>
      </c>
    </row>
    <row r="15" spans="1:92" x14ac:dyDescent="0.35">
      <c r="A15" s="8" t="s">
        <v>608</v>
      </c>
      <c r="B15" s="8" t="s">
        <v>411</v>
      </c>
      <c r="C15" s="8">
        <v>1</v>
      </c>
      <c r="D15" s="8"/>
      <c r="E15" s="8"/>
      <c r="F15" s="52">
        <f t="shared" si="17"/>
        <v>1</v>
      </c>
      <c r="G15" s="8">
        <v>1</v>
      </c>
      <c r="H15" s="8"/>
      <c r="I15" s="8"/>
      <c r="J15" s="52">
        <f t="shared" ref="J15:J31" si="23">SUM(G15:I15)</f>
        <v>1</v>
      </c>
      <c r="K15" s="8">
        <v>1</v>
      </c>
      <c r="L15" s="8"/>
      <c r="M15" s="8"/>
      <c r="N15" s="52">
        <f t="shared" si="18"/>
        <v>1</v>
      </c>
      <c r="O15" s="8">
        <v>1</v>
      </c>
      <c r="P15" s="8"/>
      <c r="Q15" s="8"/>
      <c r="R15" s="52">
        <f t="shared" si="1"/>
        <v>1</v>
      </c>
      <c r="S15" s="8">
        <v>1</v>
      </c>
      <c r="T15" s="8"/>
      <c r="U15" s="8"/>
      <c r="V15" s="52">
        <f t="shared" si="2"/>
        <v>1</v>
      </c>
      <c r="W15" s="8">
        <v>1</v>
      </c>
      <c r="X15" s="8"/>
      <c r="Y15" s="8"/>
      <c r="Z15" s="52">
        <f t="shared" si="3"/>
        <v>1</v>
      </c>
      <c r="AA15" s="8">
        <v>1</v>
      </c>
      <c r="AB15" s="8"/>
      <c r="AC15" s="8"/>
      <c r="AD15" s="52">
        <f t="shared" si="4"/>
        <v>1</v>
      </c>
      <c r="AE15" s="8">
        <v>1</v>
      </c>
      <c r="AF15" s="8"/>
      <c r="AG15" s="8"/>
      <c r="AH15" s="52">
        <f t="shared" si="5"/>
        <v>1</v>
      </c>
      <c r="AI15" s="8">
        <v>1</v>
      </c>
      <c r="AJ15" s="8"/>
      <c r="AK15" s="8"/>
      <c r="AL15" s="52">
        <f t="shared" si="6"/>
        <v>1</v>
      </c>
      <c r="AM15" s="8">
        <v>1</v>
      </c>
      <c r="AN15" s="8"/>
      <c r="AO15" s="8"/>
      <c r="AP15" s="52">
        <f t="shared" si="7"/>
        <v>1</v>
      </c>
      <c r="AQ15" s="8">
        <v>1</v>
      </c>
      <c r="AR15" s="8"/>
      <c r="AS15" s="8"/>
      <c r="AT15" s="52">
        <f t="shared" si="8"/>
        <v>1</v>
      </c>
      <c r="AU15" s="8">
        <v>1</v>
      </c>
      <c r="AV15" s="8"/>
      <c r="AW15" s="8"/>
      <c r="AX15" s="52">
        <f t="shared" si="9"/>
        <v>1</v>
      </c>
      <c r="AY15" s="8">
        <v>1</v>
      </c>
      <c r="AZ15" s="8"/>
      <c r="BA15" s="8"/>
      <c r="BB15" s="52">
        <f t="shared" si="10"/>
        <v>1</v>
      </c>
      <c r="BC15" s="8">
        <v>1</v>
      </c>
      <c r="BD15" s="8"/>
      <c r="BE15" s="8"/>
      <c r="BF15" s="52">
        <f t="shared" si="11"/>
        <v>1</v>
      </c>
      <c r="BG15" s="8">
        <v>1</v>
      </c>
      <c r="BH15" s="8"/>
      <c r="BI15" s="8">
        <v>1</v>
      </c>
      <c r="BJ15" s="52">
        <f t="shared" si="12"/>
        <v>2</v>
      </c>
      <c r="BK15" s="8">
        <v>1</v>
      </c>
      <c r="BL15" s="8"/>
      <c r="BM15" s="8">
        <v>1</v>
      </c>
      <c r="BN15" s="8">
        <v>0</v>
      </c>
      <c r="BO15" s="52">
        <f>SUM(BK15:BN15)</f>
        <v>2</v>
      </c>
      <c r="BP15" s="8"/>
      <c r="BQ15" s="8"/>
      <c r="BR15" s="8"/>
      <c r="BS15" s="8"/>
      <c r="BT15" s="84">
        <f>SUM(BP15:BS15)</f>
        <v>0</v>
      </c>
      <c r="BU15" s="88">
        <v>1</v>
      </c>
      <c r="BV15" s="8"/>
      <c r="BW15" s="8">
        <v>2</v>
      </c>
      <c r="BX15" s="8"/>
      <c r="BY15" s="87">
        <f t="shared" si="16"/>
        <v>3</v>
      </c>
      <c r="BZ15" s="91">
        <v>1</v>
      </c>
      <c r="CA15" s="8"/>
      <c r="CB15" s="8">
        <v>2</v>
      </c>
      <c r="CC15" s="8"/>
      <c r="CD15" s="87">
        <f t="shared" si="13"/>
        <v>3</v>
      </c>
      <c r="CE15" s="91"/>
      <c r="CF15" s="8"/>
      <c r="CG15" s="8">
        <v>2</v>
      </c>
      <c r="CH15" s="8"/>
      <c r="CI15" s="87">
        <f t="shared" si="14"/>
        <v>2</v>
      </c>
      <c r="CJ15" s="91"/>
      <c r="CK15" s="8"/>
      <c r="CL15" s="8"/>
      <c r="CM15" s="8"/>
      <c r="CN15" s="87">
        <f t="shared" si="15"/>
        <v>0</v>
      </c>
    </row>
    <row r="16" spans="1:92" x14ac:dyDescent="0.35">
      <c r="A16" s="8" t="s">
        <v>608</v>
      </c>
      <c r="B16" s="79" t="s">
        <v>607</v>
      </c>
      <c r="C16" s="8">
        <v>6</v>
      </c>
      <c r="D16" s="8"/>
      <c r="E16" s="8"/>
      <c r="F16" s="52">
        <f t="shared" si="17"/>
        <v>6</v>
      </c>
      <c r="G16" s="8">
        <v>6</v>
      </c>
      <c r="H16" s="8"/>
      <c r="I16" s="8"/>
      <c r="J16" s="52">
        <f t="shared" si="23"/>
        <v>6</v>
      </c>
      <c r="K16" s="8">
        <v>6</v>
      </c>
      <c r="L16" s="8"/>
      <c r="M16" s="8"/>
      <c r="N16" s="52">
        <f t="shared" ref="N16:N31" si="24">SUM(K16:M16)</f>
        <v>6</v>
      </c>
      <c r="O16" s="8">
        <v>6</v>
      </c>
      <c r="P16" s="8"/>
      <c r="Q16" s="8"/>
      <c r="R16" s="52">
        <f t="shared" si="1"/>
        <v>6</v>
      </c>
      <c r="S16" s="8">
        <v>6</v>
      </c>
      <c r="T16" s="8"/>
      <c r="U16" s="8"/>
      <c r="V16" s="52">
        <f t="shared" si="2"/>
        <v>6</v>
      </c>
      <c r="W16" s="8">
        <v>6</v>
      </c>
      <c r="X16" s="8"/>
      <c r="Y16" s="8"/>
      <c r="Z16" s="52">
        <f t="shared" si="3"/>
        <v>6</v>
      </c>
      <c r="AA16" s="8">
        <v>6</v>
      </c>
      <c r="AB16" s="8"/>
      <c r="AC16" s="8"/>
      <c r="AD16" s="52">
        <f t="shared" si="4"/>
        <v>6</v>
      </c>
      <c r="AE16" s="8">
        <v>6</v>
      </c>
      <c r="AF16" s="8"/>
      <c r="AG16" s="8"/>
      <c r="AH16" s="52">
        <f t="shared" si="5"/>
        <v>6</v>
      </c>
      <c r="AI16" s="8">
        <v>6</v>
      </c>
      <c r="AJ16" s="8"/>
      <c r="AK16" s="8"/>
      <c r="AL16" s="52">
        <f t="shared" si="6"/>
        <v>6</v>
      </c>
      <c r="AM16" s="8">
        <v>5</v>
      </c>
      <c r="AN16" s="8"/>
      <c r="AO16" s="8"/>
      <c r="AP16" s="52">
        <f t="shared" si="7"/>
        <v>5</v>
      </c>
      <c r="AQ16" s="8">
        <v>4</v>
      </c>
      <c r="AR16" s="8"/>
      <c r="AS16" s="8"/>
      <c r="AT16" s="52">
        <f t="shared" si="8"/>
        <v>4</v>
      </c>
      <c r="AU16" s="8">
        <v>4</v>
      </c>
      <c r="AV16" s="8"/>
      <c r="AW16" s="8"/>
      <c r="AX16" s="52">
        <f t="shared" si="9"/>
        <v>4</v>
      </c>
      <c r="AY16" s="8">
        <v>4</v>
      </c>
      <c r="AZ16" s="8"/>
      <c r="BA16" s="8"/>
      <c r="BB16" s="52">
        <f t="shared" si="10"/>
        <v>4</v>
      </c>
      <c r="BC16" s="8">
        <v>4</v>
      </c>
      <c r="BD16" s="8"/>
      <c r="BE16" s="8"/>
      <c r="BF16" s="52">
        <f t="shared" si="11"/>
        <v>4</v>
      </c>
      <c r="BG16" s="8">
        <v>4</v>
      </c>
      <c r="BH16" s="8"/>
      <c r="BI16" s="8"/>
      <c r="BJ16" s="52">
        <f t="shared" si="12"/>
        <v>4</v>
      </c>
      <c r="BK16" s="8">
        <v>4</v>
      </c>
      <c r="BL16" s="8"/>
      <c r="BM16" s="8"/>
      <c r="BN16" s="8">
        <v>0</v>
      </c>
      <c r="BO16" s="52">
        <f t="shared" ref="BO16:BO31" si="25">SUM(BK16:BM16)</f>
        <v>4</v>
      </c>
      <c r="BP16" s="8"/>
      <c r="BQ16" s="8"/>
      <c r="BR16" s="8"/>
      <c r="BS16" s="8"/>
      <c r="BT16" s="84">
        <f t="shared" ref="BT16:BT31" si="26">SUM(BP16:BR16)</f>
        <v>0</v>
      </c>
      <c r="BU16" s="88">
        <v>1</v>
      </c>
      <c r="BV16" s="8"/>
      <c r="BW16" s="8"/>
      <c r="BX16" s="8"/>
      <c r="BY16" s="87">
        <f t="shared" si="16"/>
        <v>1</v>
      </c>
      <c r="BZ16" s="91">
        <v>1</v>
      </c>
      <c r="CA16" s="8"/>
      <c r="CB16" s="8"/>
      <c r="CC16" s="8"/>
      <c r="CD16" s="87">
        <f t="shared" si="13"/>
        <v>1</v>
      </c>
      <c r="CE16" s="91"/>
      <c r="CF16" s="8"/>
      <c r="CG16" s="8"/>
      <c r="CH16" s="8"/>
      <c r="CI16" s="87">
        <f t="shared" si="14"/>
        <v>0</v>
      </c>
      <c r="CJ16" s="91"/>
      <c r="CK16" s="8"/>
      <c r="CL16" s="8"/>
      <c r="CM16" s="8"/>
      <c r="CN16" s="87">
        <f t="shared" si="15"/>
        <v>0</v>
      </c>
    </row>
    <row r="17" spans="1:92" x14ac:dyDescent="0.35">
      <c r="A17" s="8" t="s">
        <v>608</v>
      </c>
      <c r="B17" s="8" t="s">
        <v>417</v>
      </c>
      <c r="C17" s="8">
        <v>1</v>
      </c>
      <c r="D17" s="8"/>
      <c r="E17" s="8"/>
      <c r="F17" s="52">
        <f t="shared" si="17"/>
        <v>1</v>
      </c>
      <c r="G17" s="8">
        <v>1</v>
      </c>
      <c r="H17" s="8"/>
      <c r="I17" s="8"/>
      <c r="J17" s="52">
        <f t="shared" si="23"/>
        <v>1</v>
      </c>
      <c r="K17" s="8">
        <v>1</v>
      </c>
      <c r="L17" s="8"/>
      <c r="M17" s="8"/>
      <c r="N17" s="52">
        <f t="shared" si="24"/>
        <v>1</v>
      </c>
      <c r="O17" s="8">
        <v>1</v>
      </c>
      <c r="P17" s="8"/>
      <c r="Q17" s="8"/>
      <c r="R17" s="52">
        <f t="shared" si="1"/>
        <v>1</v>
      </c>
      <c r="S17" s="8">
        <v>1</v>
      </c>
      <c r="T17" s="8"/>
      <c r="U17" s="8"/>
      <c r="V17" s="52">
        <f t="shared" si="2"/>
        <v>1</v>
      </c>
      <c r="W17" s="8">
        <v>1</v>
      </c>
      <c r="X17" s="8"/>
      <c r="Y17" s="8"/>
      <c r="Z17" s="52">
        <f t="shared" si="3"/>
        <v>1</v>
      </c>
      <c r="AA17" s="8">
        <v>1</v>
      </c>
      <c r="AB17" s="8"/>
      <c r="AC17" s="8"/>
      <c r="AD17" s="52">
        <f t="shared" si="4"/>
        <v>1</v>
      </c>
      <c r="AE17" s="8">
        <v>1</v>
      </c>
      <c r="AF17" s="8"/>
      <c r="AG17" s="8"/>
      <c r="AH17" s="52">
        <f t="shared" si="5"/>
        <v>1</v>
      </c>
      <c r="AI17" s="8">
        <v>1</v>
      </c>
      <c r="AJ17" s="8"/>
      <c r="AK17" s="8"/>
      <c r="AL17" s="52">
        <f t="shared" si="6"/>
        <v>1</v>
      </c>
      <c r="AM17" s="8">
        <v>1</v>
      </c>
      <c r="AN17" s="8"/>
      <c r="AO17" s="8"/>
      <c r="AP17" s="52">
        <f t="shared" si="7"/>
        <v>1</v>
      </c>
      <c r="AQ17" s="8">
        <v>1</v>
      </c>
      <c r="AR17" s="8"/>
      <c r="AS17" s="8"/>
      <c r="AT17" s="52">
        <f t="shared" si="8"/>
        <v>1</v>
      </c>
      <c r="AU17" s="8">
        <v>1</v>
      </c>
      <c r="AV17" s="8"/>
      <c r="AW17" s="8"/>
      <c r="AX17" s="52">
        <f t="shared" si="9"/>
        <v>1</v>
      </c>
      <c r="AY17" s="8">
        <v>1</v>
      </c>
      <c r="AZ17" s="8"/>
      <c r="BA17" s="8"/>
      <c r="BB17" s="52">
        <f t="shared" si="10"/>
        <v>1</v>
      </c>
      <c r="BC17" s="8"/>
      <c r="BD17" s="8"/>
      <c r="BE17" s="8"/>
      <c r="BF17" s="52">
        <f t="shared" si="11"/>
        <v>0</v>
      </c>
      <c r="BG17" s="8"/>
      <c r="BH17" s="8"/>
      <c r="BI17" s="8"/>
      <c r="BJ17" s="52">
        <f t="shared" si="12"/>
        <v>0</v>
      </c>
      <c r="BK17" s="8"/>
      <c r="BL17" s="8"/>
      <c r="BM17" s="8"/>
      <c r="BN17" s="8">
        <v>0</v>
      </c>
      <c r="BO17" s="52">
        <f t="shared" si="25"/>
        <v>0</v>
      </c>
      <c r="BP17" s="8"/>
      <c r="BQ17" s="8"/>
      <c r="BR17" s="8"/>
      <c r="BS17" s="8"/>
      <c r="BT17" s="84">
        <f t="shared" si="26"/>
        <v>0</v>
      </c>
      <c r="BU17" s="88"/>
      <c r="BV17" s="8"/>
      <c r="BW17" s="8"/>
      <c r="BX17" s="8"/>
      <c r="BY17" s="87">
        <f t="shared" si="16"/>
        <v>0</v>
      </c>
      <c r="BZ17" s="91"/>
      <c r="CA17" s="8"/>
      <c r="CB17" s="8"/>
      <c r="CC17" s="8"/>
      <c r="CD17" s="87">
        <f t="shared" si="13"/>
        <v>0</v>
      </c>
      <c r="CE17" s="91"/>
      <c r="CF17" s="8"/>
      <c r="CG17" s="8"/>
      <c r="CH17" s="8"/>
      <c r="CI17" s="87">
        <f t="shared" si="14"/>
        <v>0</v>
      </c>
      <c r="CJ17" s="91"/>
      <c r="CK17" s="8"/>
      <c r="CL17" s="8"/>
      <c r="CM17" s="8"/>
      <c r="CN17" s="87">
        <f t="shared" si="15"/>
        <v>0</v>
      </c>
    </row>
    <row r="18" spans="1:92" x14ac:dyDescent="0.35">
      <c r="A18" s="8" t="s">
        <v>608</v>
      </c>
      <c r="B18" s="8" t="s">
        <v>9</v>
      </c>
      <c r="C18" s="8"/>
      <c r="D18" s="8"/>
      <c r="E18" s="8"/>
      <c r="F18" s="52"/>
      <c r="G18" s="8"/>
      <c r="H18" s="8"/>
      <c r="I18" s="8"/>
      <c r="J18" s="52"/>
      <c r="K18" s="8"/>
      <c r="L18" s="8"/>
      <c r="M18" s="8"/>
      <c r="N18" s="52"/>
      <c r="O18" s="8"/>
      <c r="P18" s="8"/>
      <c r="Q18" s="8"/>
      <c r="R18" s="52"/>
      <c r="S18" s="8"/>
      <c r="T18" s="8"/>
      <c r="U18" s="8"/>
      <c r="V18" s="52"/>
      <c r="W18" s="8"/>
      <c r="X18" s="8"/>
      <c r="Y18" s="8"/>
      <c r="Z18" s="52"/>
      <c r="AA18" s="8"/>
      <c r="AB18" s="8"/>
      <c r="AC18" s="8"/>
      <c r="AD18" s="52"/>
      <c r="AE18" s="8"/>
      <c r="AF18" s="8"/>
      <c r="AG18" s="8"/>
      <c r="AH18" s="52"/>
      <c r="AI18" s="8"/>
      <c r="AJ18" s="8"/>
      <c r="AK18" s="8"/>
      <c r="AL18" s="52"/>
      <c r="AM18" s="8"/>
      <c r="AN18" s="8"/>
      <c r="AO18" s="8"/>
      <c r="AP18" s="52"/>
      <c r="AQ18" s="8"/>
      <c r="AR18" s="8"/>
      <c r="AS18" s="8"/>
      <c r="AT18" s="52">
        <f t="shared" si="8"/>
        <v>0</v>
      </c>
      <c r="AU18" s="8"/>
      <c r="AV18" s="8"/>
      <c r="AW18" s="8"/>
      <c r="AX18" s="52">
        <f t="shared" si="9"/>
        <v>0</v>
      </c>
      <c r="AY18" s="8"/>
      <c r="AZ18" s="8"/>
      <c r="BA18" s="8"/>
      <c r="BB18" s="52">
        <f t="shared" si="10"/>
        <v>0</v>
      </c>
      <c r="BC18" s="8"/>
      <c r="BD18" s="8"/>
      <c r="BE18" s="8"/>
      <c r="BF18" s="52">
        <f t="shared" si="11"/>
        <v>0</v>
      </c>
      <c r="BG18" s="8"/>
      <c r="BH18" s="8">
        <v>1</v>
      </c>
      <c r="BI18" s="8"/>
      <c r="BJ18" s="52">
        <f t="shared" si="12"/>
        <v>1</v>
      </c>
      <c r="BK18" s="8"/>
      <c r="BL18" s="8">
        <v>1</v>
      </c>
      <c r="BM18" s="8"/>
      <c r="BN18" s="8">
        <v>0</v>
      </c>
      <c r="BO18" s="52">
        <f t="shared" si="25"/>
        <v>1</v>
      </c>
      <c r="BP18" s="8"/>
      <c r="BQ18" s="8"/>
      <c r="BR18" s="8"/>
      <c r="BS18" s="8"/>
      <c r="BT18" s="84">
        <f t="shared" si="26"/>
        <v>0</v>
      </c>
      <c r="BU18" s="88"/>
      <c r="BV18" s="8">
        <v>1</v>
      </c>
      <c r="BW18" s="8"/>
      <c r="BX18" s="8"/>
      <c r="BY18" s="87">
        <f t="shared" si="16"/>
        <v>1</v>
      </c>
      <c r="BZ18" s="91"/>
      <c r="CA18" s="8">
        <v>1</v>
      </c>
      <c r="CB18" s="8"/>
      <c r="CC18" s="8"/>
      <c r="CD18" s="87">
        <f t="shared" si="13"/>
        <v>1</v>
      </c>
      <c r="CE18" s="91"/>
      <c r="CF18" s="8">
        <v>2</v>
      </c>
      <c r="CG18" s="8"/>
      <c r="CH18" s="8"/>
      <c r="CI18" s="87">
        <f t="shared" si="14"/>
        <v>2</v>
      </c>
      <c r="CJ18" s="91"/>
      <c r="CK18" s="8"/>
      <c r="CL18" s="8"/>
      <c r="CM18" s="8"/>
      <c r="CN18" s="87">
        <f t="shared" si="15"/>
        <v>0</v>
      </c>
    </row>
    <row r="19" spans="1:92" x14ac:dyDescent="0.35">
      <c r="A19" s="8" t="s">
        <v>13</v>
      </c>
      <c r="B19" s="8" t="s">
        <v>609</v>
      </c>
      <c r="C19" s="8"/>
      <c r="D19" s="8"/>
      <c r="E19" s="8">
        <v>1</v>
      </c>
      <c r="F19" s="52">
        <f t="shared" si="17"/>
        <v>1</v>
      </c>
      <c r="G19" s="8"/>
      <c r="H19" s="8"/>
      <c r="I19" s="8">
        <v>1</v>
      </c>
      <c r="J19" s="52">
        <f t="shared" si="23"/>
        <v>1</v>
      </c>
      <c r="K19" s="8"/>
      <c r="L19" s="8"/>
      <c r="M19" s="8"/>
      <c r="N19" s="52">
        <f t="shared" si="24"/>
        <v>0</v>
      </c>
      <c r="O19" s="8"/>
      <c r="P19" s="8"/>
      <c r="Q19" s="8"/>
      <c r="R19" s="52">
        <f t="shared" si="1"/>
        <v>0</v>
      </c>
      <c r="S19" s="8"/>
      <c r="T19" s="8"/>
      <c r="U19" s="8"/>
      <c r="V19" s="52">
        <f t="shared" si="2"/>
        <v>0</v>
      </c>
      <c r="W19" s="8"/>
      <c r="X19" s="8"/>
      <c r="Y19" s="8"/>
      <c r="Z19" s="52">
        <f t="shared" si="3"/>
        <v>0</v>
      </c>
      <c r="AA19" s="8"/>
      <c r="AB19" s="8"/>
      <c r="AC19" s="8"/>
      <c r="AD19" s="52">
        <f t="shared" si="4"/>
        <v>0</v>
      </c>
      <c r="AE19" s="8"/>
      <c r="AF19" s="8"/>
      <c r="AG19" s="8"/>
      <c r="AH19" s="52">
        <f t="shared" si="5"/>
        <v>0</v>
      </c>
      <c r="AI19" s="8"/>
      <c r="AJ19" s="8"/>
      <c r="AK19" s="8"/>
      <c r="AL19" s="52">
        <f t="shared" si="6"/>
        <v>0</v>
      </c>
      <c r="AM19" s="8"/>
      <c r="AN19" s="8"/>
      <c r="AO19" s="8"/>
      <c r="AP19" s="52">
        <f t="shared" si="7"/>
        <v>0</v>
      </c>
      <c r="AQ19" s="8"/>
      <c r="AR19" s="8"/>
      <c r="AS19" s="8"/>
      <c r="AT19" s="52">
        <f t="shared" si="8"/>
        <v>0</v>
      </c>
      <c r="AU19" s="8"/>
      <c r="AV19" s="8"/>
      <c r="AW19" s="8"/>
      <c r="AX19" s="52">
        <f t="shared" si="9"/>
        <v>0</v>
      </c>
      <c r="AY19" s="8"/>
      <c r="AZ19" s="8"/>
      <c r="BA19" s="8"/>
      <c r="BB19" s="52">
        <f t="shared" si="10"/>
        <v>0</v>
      </c>
      <c r="BC19" s="8"/>
      <c r="BD19" s="8"/>
      <c r="BE19" s="8"/>
      <c r="BF19" s="52">
        <f t="shared" si="11"/>
        <v>0</v>
      </c>
      <c r="BG19" s="8"/>
      <c r="BH19" s="8"/>
      <c r="BI19" s="8"/>
      <c r="BJ19" s="52">
        <f t="shared" si="12"/>
        <v>0</v>
      </c>
      <c r="BK19" s="8"/>
      <c r="BL19" s="8"/>
      <c r="BM19" s="8"/>
      <c r="BN19" s="8">
        <v>0</v>
      </c>
      <c r="BO19" s="52">
        <f t="shared" si="25"/>
        <v>0</v>
      </c>
      <c r="BP19" s="8"/>
      <c r="BQ19" s="8"/>
      <c r="BR19" s="8"/>
      <c r="BS19" s="8"/>
      <c r="BT19" s="84">
        <f t="shared" si="26"/>
        <v>0</v>
      </c>
      <c r="BU19" s="88"/>
      <c r="BV19" s="8"/>
      <c r="BW19" s="8"/>
      <c r="BX19" s="8"/>
      <c r="BY19" s="87">
        <f t="shared" si="16"/>
        <v>0</v>
      </c>
      <c r="BZ19" s="91"/>
      <c r="CA19" s="8"/>
      <c r="CB19" s="8"/>
      <c r="CC19" s="8"/>
      <c r="CD19" s="87">
        <f t="shared" si="13"/>
        <v>0</v>
      </c>
      <c r="CE19" s="91"/>
      <c r="CF19" s="8"/>
      <c r="CG19" s="8"/>
      <c r="CH19" s="8"/>
      <c r="CI19" s="87">
        <f t="shared" si="14"/>
        <v>0</v>
      </c>
      <c r="CJ19" s="91"/>
      <c r="CK19" s="8"/>
      <c r="CL19" s="8"/>
      <c r="CM19" s="8"/>
      <c r="CN19" s="87">
        <f t="shared" si="15"/>
        <v>0</v>
      </c>
    </row>
    <row r="20" spans="1:92" x14ac:dyDescent="0.35">
      <c r="A20" s="8" t="s">
        <v>13</v>
      </c>
      <c r="B20" s="8" t="s">
        <v>431</v>
      </c>
      <c r="C20" s="8"/>
      <c r="D20" s="8"/>
      <c r="E20" s="8">
        <v>2</v>
      </c>
      <c r="F20" s="52">
        <f t="shared" si="17"/>
        <v>2</v>
      </c>
      <c r="G20" s="8"/>
      <c r="H20" s="8"/>
      <c r="I20" s="8">
        <v>2</v>
      </c>
      <c r="J20" s="52">
        <f t="shared" si="23"/>
        <v>2</v>
      </c>
      <c r="K20" s="8"/>
      <c r="L20" s="8"/>
      <c r="M20" s="8">
        <v>2</v>
      </c>
      <c r="N20" s="52">
        <f t="shared" si="24"/>
        <v>2</v>
      </c>
      <c r="O20" s="8"/>
      <c r="P20" s="8"/>
      <c r="Q20" s="8">
        <v>2</v>
      </c>
      <c r="R20" s="52">
        <f t="shared" si="1"/>
        <v>2</v>
      </c>
      <c r="S20" s="8"/>
      <c r="T20" s="8"/>
      <c r="U20" s="8">
        <v>2</v>
      </c>
      <c r="V20" s="52">
        <f t="shared" si="2"/>
        <v>2</v>
      </c>
      <c r="W20" s="8"/>
      <c r="X20" s="8"/>
      <c r="Y20" s="8">
        <v>2</v>
      </c>
      <c r="Z20" s="52">
        <f t="shared" si="3"/>
        <v>2</v>
      </c>
      <c r="AA20" s="8"/>
      <c r="AB20" s="8"/>
      <c r="AC20" s="8">
        <v>2</v>
      </c>
      <c r="AD20" s="52">
        <f t="shared" si="4"/>
        <v>2</v>
      </c>
      <c r="AE20" s="8"/>
      <c r="AF20" s="8"/>
      <c r="AG20" s="8">
        <v>2</v>
      </c>
      <c r="AH20" s="52">
        <f t="shared" si="5"/>
        <v>2</v>
      </c>
      <c r="AI20" s="8"/>
      <c r="AJ20" s="8"/>
      <c r="AK20" s="8">
        <v>2</v>
      </c>
      <c r="AL20" s="52">
        <f t="shared" si="6"/>
        <v>2</v>
      </c>
      <c r="AM20" s="8"/>
      <c r="AN20" s="8"/>
      <c r="AO20" s="8">
        <v>2</v>
      </c>
      <c r="AP20" s="52">
        <f t="shared" si="7"/>
        <v>2</v>
      </c>
      <c r="AQ20" s="8"/>
      <c r="AR20" s="8"/>
      <c r="AS20" s="8"/>
      <c r="AT20" s="52">
        <f t="shared" si="8"/>
        <v>0</v>
      </c>
      <c r="AU20" s="8"/>
      <c r="AV20" s="8"/>
      <c r="AW20" s="8"/>
      <c r="AX20" s="52">
        <f t="shared" si="9"/>
        <v>0</v>
      </c>
      <c r="AY20" s="8"/>
      <c r="AZ20" s="8"/>
      <c r="BA20" s="8"/>
      <c r="BB20" s="52">
        <f t="shared" si="10"/>
        <v>0</v>
      </c>
      <c r="BC20" s="8"/>
      <c r="BD20" s="8"/>
      <c r="BE20" s="8"/>
      <c r="BF20" s="52">
        <f t="shared" si="11"/>
        <v>0</v>
      </c>
      <c r="BG20" s="8"/>
      <c r="BH20" s="8"/>
      <c r="BI20" s="8"/>
      <c r="BJ20" s="52">
        <f t="shared" si="12"/>
        <v>0</v>
      </c>
      <c r="BK20" s="8"/>
      <c r="BL20" s="8"/>
      <c r="BM20" s="8"/>
      <c r="BN20" s="8">
        <v>0</v>
      </c>
      <c r="BO20" s="52">
        <f t="shared" si="25"/>
        <v>0</v>
      </c>
      <c r="BP20" s="8"/>
      <c r="BQ20" s="8"/>
      <c r="BR20" s="8"/>
      <c r="BS20" s="8"/>
      <c r="BT20" s="84">
        <f t="shared" si="26"/>
        <v>0</v>
      </c>
      <c r="BU20" s="88"/>
      <c r="BV20" s="8"/>
      <c r="BW20" s="8"/>
      <c r="BX20" s="8"/>
      <c r="BY20" s="87">
        <f t="shared" si="16"/>
        <v>0</v>
      </c>
      <c r="BZ20" s="91"/>
      <c r="CA20" s="8"/>
      <c r="CB20" s="8"/>
      <c r="CC20" s="8"/>
      <c r="CD20" s="87">
        <f t="shared" si="13"/>
        <v>0</v>
      </c>
      <c r="CE20" s="91"/>
      <c r="CF20" s="8"/>
      <c r="CG20" s="8"/>
      <c r="CH20" s="8"/>
      <c r="CI20" s="87">
        <f t="shared" si="14"/>
        <v>0</v>
      </c>
      <c r="CJ20" s="91"/>
      <c r="CK20" s="8"/>
      <c r="CL20" s="8"/>
      <c r="CM20" s="8"/>
      <c r="CN20" s="87">
        <f t="shared" si="15"/>
        <v>0</v>
      </c>
    </row>
    <row r="21" spans="1:92" x14ac:dyDescent="0.35">
      <c r="A21" s="8" t="s">
        <v>13</v>
      </c>
      <c r="B21" s="8" t="s">
        <v>411</v>
      </c>
      <c r="C21" s="8"/>
      <c r="D21" s="8"/>
      <c r="E21" s="8">
        <v>2</v>
      </c>
      <c r="F21" s="52">
        <f t="shared" si="17"/>
        <v>2</v>
      </c>
      <c r="G21" s="8"/>
      <c r="H21" s="8"/>
      <c r="I21" s="8">
        <v>2</v>
      </c>
      <c r="J21" s="52">
        <f t="shared" si="23"/>
        <v>2</v>
      </c>
      <c r="K21" s="8"/>
      <c r="L21" s="8"/>
      <c r="M21" s="8">
        <v>2</v>
      </c>
      <c r="N21" s="52">
        <f t="shared" si="24"/>
        <v>2</v>
      </c>
      <c r="O21" s="8"/>
      <c r="P21" s="8"/>
      <c r="Q21" s="8">
        <v>2</v>
      </c>
      <c r="R21" s="52">
        <f t="shared" si="1"/>
        <v>2</v>
      </c>
      <c r="S21" s="8"/>
      <c r="T21" s="8"/>
      <c r="U21" s="8">
        <v>2</v>
      </c>
      <c r="V21" s="52">
        <f t="shared" si="2"/>
        <v>2</v>
      </c>
      <c r="W21" s="8"/>
      <c r="X21" s="8"/>
      <c r="Y21" s="8">
        <v>2</v>
      </c>
      <c r="Z21" s="52">
        <f t="shared" si="3"/>
        <v>2</v>
      </c>
      <c r="AA21" s="8"/>
      <c r="AB21" s="8"/>
      <c r="AC21" s="8">
        <v>2</v>
      </c>
      <c r="AD21" s="52">
        <f t="shared" si="4"/>
        <v>2</v>
      </c>
      <c r="AE21" s="8"/>
      <c r="AF21" s="8"/>
      <c r="AG21" s="8">
        <v>2</v>
      </c>
      <c r="AH21" s="52">
        <f t="shared" si="5"/>
        <v>2</v>
      </c>
      <c r="AI21" s="8"/>
      <c r="AJ21" s="8"/>
      <c r="AK21" s="8">
        <v>2</v>
      </c>
      <c r="AL21" s="52">
        <f t="shared" si="6"/>
        <v>2</v>
      </c>
      <c r="AM21" s="8"/>
      <c r="AN21" s="8"/>
      <c r="AO21" s="8">
        <v>2</v>
      </c>
      <c r="AP21" s="52">
        <f t="shared" si="7"/>
        <v>2</v>
      </c>
      <c r="AQ21" s="8"/>
      <c r="AR21" s="8"/>
      <c r="AS21" s="8">
        <v>2</v>
      </c>
      <c r="AT21" s="52">
        <f t="shared" si="8"/>
        <v>2</v>
      </c>
      <c r="AU21" s="8"/>
      <c r="AV21" s="8"/>
      <c r="AW21" s="8">
        <v>2</v>
      </c>
      <c r="AX21" s="52">
        <f t="shared" si="9"/>
        <v>2</v>
      </c>
      <c r="AY21" s="8"/>
      <c r="AZ21" s="8"/>
      <c r="BA21" s="8">
        <v>2</v>
      </c>
      <c r="BB21" s="52">
        <f t="shared" si="10"/>
        <v>2</v>
      </c>
      <c r="BC21" s="8"/>
      <c r="BD21" s="8"/>
      <c r="BE21" s="8">
        <v>2</v>
      </c>
      <c r="BF21" s="52">
        <f t="shared" si="11"/>
        <v>2</v>
      </c>
      <c r="BG21" s="8"/>
      <c r="BH21" s="8"/>
      <c r="BI21" s="8"/>
      <c r="BJ21" s="52">
        <f t="shared" si="12"/>
        <v>0</v>
      </c>
      <c r="BK21" s="8"/>
      <c r="BL21" s="8"/>
      <c r="BM21" s="8"/>
      <c r="BN21" s="8">
        <v>0</v>
      </c>
      <c r="BO21" s="52">
        <f t="shared" si="25"/>
        <v>0</v>
      </c>
      <c r="BP21" s="8"/>
      <c r="BQ21" s="8"/>
      <c r="BR21" s="8"/>
      <c r="BS21" s="8"/>
      <c r="BT21" s="84">
        <f t="shared" si="26"/>
        <v>0</v>
      </c>
      <c r="BU21" s="88"/>
      <c r="BV21" s="8"/>
      <c r="BW21" s="8"/>
      <c r="BX21" s="8"/>
      <c r="BY21" s="87">
        <f t="shared" si="16"/>
        <v>0</v>
      </c>
      <c r="BZ21" s="91"/>
      <c r="CA21" s="8"/>
      <c r="CB21" s="8"/>
      <c r="CC21" s="8"/>
      <c r="CD21" s="87">
        <f t="shared" si="13"/>
        <v>0</v>
      </c>
      <c r="CE21" s="91"/>
      <c r="CF21" s="8"/>
      <c r="CG21" s="8"/>
      <c r="CH21" s="8"/>
      <c r="CI21" s="87">
        <f t="shared" si="14"/>
        <v>0</v>
      </c>
      <c r="CJ21" s="91"/>
      <c r="CK21" s="8"/>
      <c r="CL21" s="8"/>
      <c r="CM21" s="8"/>
      <c r="CN21" s="87">
        <f t="shared" si="15"/>
        <v>0</v>
      </c>
    </row>
    <row r="22" spans="1:92" x14ac:dyDescent="0.35">
      <c r="A22" s="8" t="s">
        <v>13</v>
      </c>
      <c r="B22" s="8" t="s">
        <v>433</v>
      </c>
      <c r="C22" s="8"/>
      <c r="D22" s="8"/>
      <c r="E22" s="8">
        <v>1</v>
      </c>
      <c r="F22" s="52">
        <f t="shared" si="17"/>
        <v>1</v>
      </c>
      <c r="G22" s="8"/>
      <c r="H22" s="8"/>
      <c r="I22" s="8">
        <v>1</v>
      </c>
      <c r="J22" s="52">
        <f t="shared" si="23"/>
        <v>1</v>
      </c>
      <c r="K22" s="8"/>
      <c r="L22" s="8"/>
      <c r="M22" s="8">
        <v>1</v>
      </c>
      <c r="N22" s="52">
        <f t="shared" si="24"/>
        <v>1</v>
      </c>
      <c r="O22" s="8"/>
      <c r="P22" s="8"/>
      <c r="Q22" s="8">
        <v>1</v>
      </c>
      <c r="R22" s="52">
        <f t="shared" si="1"/>
        <v>1</v>
      </c>
      <c r="S22" s="8"/>
      <c r="T22" s="8"/>
      <c r="U22" s="8">
        <v>1</v>
      </c>
      <c r="V22" s="52">
        <f t="shared" si="2"/>
        <v>1</v>
      </c>
      <c r="W22" s="8"/>
      <c r="X22" s="8"/>
      <c r="Y22" s="8">
        <v>1</v>
      </c>
      <c r="Z22" s="52">
        <f t="shared" si="3"/>
        <v>1</v>
      </c>
      <c r="AA22" s="8"/>
      <c r="AB22" s="8"/>
      <c r="AC22" s="8">
        <v>1</v>
      </c>
      <c r="AD22" s="52">
        <f t="shared" si="4"/>
        <v>1</v>
      </c>
      <c r="AE22" s="8"/>
      <c r="AF22" s="8"/>
      <c r="AG22" s="8">
        <v>1</v>
      </c>
      <c r="AH22" s="52">
        <f t="shared" si="5"/>
        <v>1</v>
      </c>
      <c r="AI22" s="8"/>
      <c r="AJ22" s="8"/>
      <c r="AK22" s="8">
        <v>1</v>
      </c>
      <c r="AL22" s="52">
        <f t="shared" si="6"/>
        <v>1</v>
      </c>
      <c r="AM22" s="8"/>
      <c r="AN22" s="8"/>
      <c r="AO22" s="8">
        <v>1</v>
      </c>
      <c r="AP22" s="52">
        <f t="shared" si="7"/>
        <v>1</v>
      </c>
      <c r="AQ22" s="8"/>
      <c r="AR22" s="8"/>
      <c r="AS22" s="8"/>
      <c r="AT22" s="52">
        <f t="shared" si="8"/>
        <v>0</v>
      </c>
      <c r="AU22" s="8"/>
      <c r="AV22" s="8"/>
      <c r="AW22" s="8"/>
      <c r="AX22" s="52">
        <f t="shared" si="9"/>
        <v>0</v>
      </c>
      <c r="AY22" s="8"/>
      <c r="AZ22" s="8"/>
      <c r="BA22" s="8"/>
      <c r="BB22" s="52">
        <f t="shared" si="10"/>
        <v>0</v>
      </c>
      <c r="BC22" s="8"/>
      <c r="BD22" s="8"/>
      <c r="BE22" s="8"/>
      <c r="BF22" s="52">
        <f t="shared" si="11"/>
        <v>0</v>
      </c>
      <c r="BG22" s="8"/>
      <c r="BH22" s="8"/>
      <c r="BI22" s="8"/>
      <c r="BJ22" s="52">
        <f t="shared" si="12"/>
        <v>0</v>
      </c>
      <c r="BK22" s="8"/>
      <c r="BL22" s="8"/>
      <c r="BM22" s="8"/>
      <c r="BN22" s="8">
        <v>0</v>
      </c>
      <c r="BO22" s="52">
        <f t="shared" si="25"/>
        <v>0</v>
      </c>
      <c r="BP22" s="8"/>
      <c r="BQ22" s="8"/>
      <c r="BR22" s="8"/>
      <c r="BS22" s="8"/>
      <c r="BT22" s="84">
        <f t="shared" si="26"/>
        <v>0</v>
      </c>
      <c r="BU22" s="88"/>
      <c r="BV22" s="8"/>
      <c r="BW22" s="8"/>
      <c r="BX22" s="8"/>
      <c r="BY22" s="87">
        <f t="shared" si="16"/>
        <v>0</v>
      </c>
      <c r="BZ22" s="91"/>
      <c r="CA22" s="8"/>
      <c r="CB22" s="8"/>
      <c r="CC22" s="8"/>
      <c r="CD22" s="87">
        <f t="shared" si="13"/>
        <v>0</v>
      </c>
      <c r="CE22" s="91"/>
      <c r="CF22" s="8"/>
      <c r="CG22" s="8"/>
      <c r="CH22" s="8"/>
      <c r="CI22" s="87">
        <f t="shared" si="14"/>
        <v>0</v>
      </c>
      <c r="CJ22" s="91"/>
      <c r="CK22" s="8"/>
      <c r="CL22" s="8"/>
      <c r="CM22" s="8"/>
      <c r="CN22" s="87">
        <f t="shared" si="15"/>
        <v>0</v>
      </c>
    </row>
    <row r="23" spans="1:92" x14ac:dyDescent="0.35">
      <c r="A23" s="8" t="s">
        <v>13</v>
      </c>
      <c r="B23" s="38" t="s">
        <v>415</v>
      </c>
      <c r="C23" s="8"/>
      <c r="D23" s="8"/>
      <c r="E23" s="8"/>
      <c r="F23" s="52"/>
      <c r="G23" s="8"/>
      <c r="H23" s="8"/>
      <c r="I23" s="8"/>
      <c r="J23" s="52"/>
      <c r="K23" s="8"/>
      <c r="L23" s="8"/>
      <c r="M23" s="8"/>
      <c r="N23" s="52"/>
      <c r="O23" s="8"/>
      <c r="P23" s="8"/>
      <c r="Q23" s="8"/>
      <c r="R23" s="52"/>
      <c r="S23" s="8"/>
      <c r="T23" s="8"/>
      <c r="U23" s="8"/>
      <c r="V23" s="52"/>
      <c r="W23" s="8"/>
      <c r="X23" s="8"/>
      <c r="Y23" s="8"/>
      <c r="Z23" s="52"/>
      <c r="AA23" s="8"/>
      <c r="AB23" s="8"/>
      <c r="AC23" s="8"/>
      <c r="AD23" s="52"/>
      <c r="AE23" s="8"/>
      <c r="AF23" s="8"/>
      <c r="AG23" s="8"/>
      <c r="AH23" s="52"/>
      <c r="AI23" s="8"/>
      <c r="AJ23" s="8"/>
      <c r="AK23" s="8"/>
      <c r="AL23" s="52"/>
      <c r="AM23" s="8"/>
      <c r="AN23" s="8"/>
      <c r="AO23" s="8">
        <v>1</v>
      </c>
      <c r="AP23" s="52">
        <f t="shared" si="7"/>
        <v>1</v>
      </c>
      <c r="AQ23" s="8"/>
      <c r="AR23" s="8"/>
      <c r="AS23" s="8">
        <v>1</v>
      </c>
      <c r="AT23" s="52">
        <f t="shared" si="8"/>
        <v>1</v>
      </c>
      <c r="AU23" s="8"/>
      <c r="AV23" s="8"/>
      <c r="AW23" s="8">
        <v>1</v>
      </c>
      <c r="AX23" s="52">
        <f t="shared" si="9"/>
        <v>1</v>
      </c>
      <c r="AY23" s="8"/>
      <c r="AZ23" s="8"/>
      <c r="BA23" s="8">
        <v>1</v>
      </c>
      <c r="BB23" s="52">
        <f t="shared" si="10"/>
        <v>1</v>
      </c>
      <c r="BC23" s="8"/>
      <c r="BD23" s="8"/>
      <c r="BE23" s="8">
        <v>1</v>
      </c>
      <c r="BF23" s="52">
        <f t="shared" si="11"/>
        <v>1</v>
      </c>
      <c r="BG23" s="8"/>
      <c r="BH23" s="8"/>
      <c r="BI23" s="8"/>
      <c r="BJ23" s="52">
        <f t="shared" si="12"/>
        <v>0</v>
      </c>
      <c r="BK23" s="8"/>
      <c r="BL23" s="8"/>
      <c r="BM23" s="8"/>
      <c r="BN23" s="8">
        <v>0</v>
      </c>
      <c r="BO23" s="52">
        <f t="shared" si="25"/>
        <v>0</v>
      </c>
      <c r="BP23" s="8"/>
      <c r="BQ23" s="8"/>
      <c r="BR23" s="8"/>
      <c r="BS23" s="8"/>
      <c r="BT23" s="84">
        <f t="shared" si="26"/>
        <v>0</v>
      </c>
      <c r="BU23" s="88"/>
      <c r="BV23" s="8"/>
      <c r="BW23" s="8"/>
      <c r="BX23" s="8"/>
      <c r="BY23" s="87">
        <f t="shared" si="16"/>
        <v>0</v>
      </c>
      <c r="BZ23" s="91"/>
      <c r="CA23" s="8"/>
      <c r="CB23" s="8"/>
      <c r="CC23" s="8"/>
      <c r="CD23" s="87">
        <f t="shared" si="13"/>
        <v>0</v>
      </c>
      <c r="CE23" s="91"/>
      <c r="CF23" s="8"/>
      <c r="CG23" s="8"/>
      <c r="CH23" s="8"/>
      <c r="CI23" s="87">
        <f t="shared" si="14"/>
        <v>0</v>
      </c>
      <c r="CJ23" s="91"/>
      <c r="CK23" s="8"/>
      <c r="CL23" s="8"/>
      <c r="CM23" s="8"/>
      <c r="CN23" s="87">
        <f t="shared" si="15"/>
        <v>0</v>
      </c>
    </row>
    <row r="24" spans="1:92" x14ac:dyDescent="0.35">
      <c r="A24" s="8" t="s">
        <v>418</v>
      </c>
      <c r="B24" s="8" t="s">
        <v>112</v>
      </c>
      <c r="C24" s="8"/>
      <c r="D24" s="8"/>
      <c r="E24" s="8">
        <v>1</v>
      </c>
      <c r="F24" s="52">
        <f t="shared" si="17"/>
        <v>1</v>
      </c>
      <c r="G24" s="8"/>
      <c r="H24" s="8"/>
      <c r="I24" s="8">
        <v>1</v>
      </c>
      <c r="J24" s="52">
        <f t="shared" si="23"/>
        <v>1</v>
      </c>
      <c r="K24" s="8"/>
      <c r="L24" s="8"/>
      <c r="M24" s="8">
        <v>1</v>
      </c>
      <c r="N24" s="52">
        <f t="shared" si="24"/>
        <v>1</v>
      </c>
      <c r="O24" s="8"/>
      <c r="P24" s="8"/>
      <c r="Q24" s="8">
        <v>1</v>
      </c>
      <c r="R24" s="52">
        <f t="shared" si="1"/>
        <v>1</v>
      </c>
      <c r="S24" s="8"/>
      <c r="T24" s="8"/>
      <c r="U24" s="8">
        <v>1</v>
      </c>
      <c r="V24" s="52">
        <f t="shared" si="2"/>
        <v>1</v>
      </c>
      <c r="W24" s="8"/>
      <c r="X24" s="8"/>
      <c r="Y24" s="8">
        <v>1</v>
      </c>
      <c r="Z24" s="52">
        <f t="shared" si="3"/>
        <v>1</v>
      </c>
      <c r="AA24" s="8"/>
      <c r="AB24" s="8"/>
      <c r="AC24" s="8">
        <v>1</v>
      </c>
      <c r="AD24" s="52">
        <f t="shared" si="4"/>
        <v>1</v>
      </c>
      <c r="AE24" s="8"/>
      <c r="AF24" s="8"/>
      <c r="AG24" s="8">
        <v>1</v>
      </c>
      <c r="AH24" s="52">
        <f t="shared" si="5"/>
        <v>1</v>
      </c>
      <c r="AI24" s="8"/>
      <c r="AJ24" s="8"/>
      <c r="AK24" s="8">
        <v>1</v>
      </c>
      <c r="AL24" s="52">
        <f t="shared" si="6"/>
        <v>1</v>
      </c>
      <c r="AM24" s="8"/>
      <c r="AN24" s="8"/>
      <c r="AO24" s="8">
        <v>1</v>
      </c>
      <c r="AP24" s="52">
        <f t="shared" si="7"/>
        <v>1</v>
      </c>
      <c r="AQ24" s="8"/>
      <c r="AR24" s="8"/>
      <c r="AS24" s="8">
        <v>1</v>
      </c>
      <c r="AT24" s="52">
        <f t="shared" si="8"/>
        <v>1</v>
      </c>
      <c r="AU24" s="8"/>
      <c r="AV24" s="8"/>
      <c r="AW24" s="8"/>
      <c r="AX24" s="52">
        <f t="shared" si="9"/>
        <v>0</v>
      </c>
      <c r="AY24" s="8"/>
      <c r="AZ24" s="8"/>
      <c r="BA24" s="8"/>
      <c r="BB24" s="52">
        <f t="shared" si="10"/>
        <v>0</v>
      </c>
      <c r="BC24" s="8"/>
      <c r="BD24" s="8"/>
      <c r="BE24" s="8"/>
      <c r="BF24" s="52">
        <f t="shared" si="11"/>
        <v>0</v>
      </c>
      <c r="BG24" s="8"/>
      <c r="BH24" s="8"/>
      <c r="BI24" s="8"/>
      <c r="BJ24" s="52">
        <f t="shared" si="12"/>
        <v>0</v>
      </c>
      <c r="BK24" s="8"/>
      <c r="BL24" s="8"/>
      <c r="BM24" s="8"/>
      <c r="BN24" s="8">
        <v>0</v>
      </c>
      <c r="BO24" s="52">
        <f t="shared" si="25"/>
        <v>0</v>
      </c>
      <c r="BP24" s="8"/>
      <c r="BQ24" s="8"/>
      <c r="BR24" s="8"/>
      <c r="BS24" s="8"/>
      <c r="BT24" s="84">
        <f t="shared" si="26"/>
        <v>0</v>
      </c>
      <c r="BU24" s="88"/>
      <c r="BV24" s="8"/>
      <c r="BW24" s="8"/>
      <c r="BX24" s="8"/>
      <c r="BY24" s="87">
        <f t="shared" si="16"/>
        <v>0</v>
      </c>
      <c r="BZ24" s="91"/>
      <c r="CA24" s="8"/>
      <c r="CB24" s="8"/>
      <c r="CC24" s="8"/>
      <c r="CD24" s="87">
        <f t="shared" si="13"/>
        <v>0</v>
      </c>
      <c r="CE24" s="91"/>
      <c r="CF24" s="8"/>
      <c r="CG24" s="8"/>
      <c r="CH24" s="8"/>
      <c r="CI24" s="87">
        <f t="shared" si="14"/>
        <v>0</v>
      </c>
      <c r="CJ24" s="91"/>
      <c r="CK24" s="8"/>
      <c r="CL24" s="8"/>
      <c r="CM24" s="8"/>
      <c r="CN24" s="87">
        <f t="shared" si="15"/>
        <v>0</v>
      </c>
    </row>
    <row r="25" spans="1:92" x14ac:dyDescent="0.35">
      <c r="A25" s="8" t="s">
        <v>418</v>
      </c>
      <c r="B25" s="8" t="s">
        <v>170</v>
      </c>
      <c r="C25" s="8">
        <v>2</v>
      </c>
      <c r="D25" s="8"/>
      <c r="E25" s="8"/>
      <c r="F25" s="52">
        <f t="shared" si="17"/>
        <v>2</v>
      </c>
      <c r="G25" s="8">
        <v>2</v>
      </c>
      <c r="H25" s="8"/>
      <c r="I25" s="8"/>
      <c r="J25" s="52">
        <f t="shared" si="23"/>
        <v>2</v>
      </c>
      <c r="K25" s="8">
        <v>2</v>
      </c>
      <c r="L25" s="8"/>
      <c r="M25" s="8"/>
      <c r="N25" s="52">
        <f t="shared" si="24"/>
        <v>2</v>
      </c>
      <c r="O25" s="8">
        <v>2</v>
      </c>
      <c r="P25" s="8"/>
      <c r="Q25" s="8"/>
      <c r="R25" s="52">
        <f t="shared" si="1"/>
        <v>2</v>
      </c>
      <c r="S25" s="8">
        <v>2</v>
      </c>
      <c r="T25" s="8"/>
      <c r="U25" s="8"/>
      <c r="V25" s="52">
        <f t="shared" si="2"/>
        <v>2</v>
      </c>
      <c r="W25" s="8">
        <v>2</v>
      </c>
      <c r="X25" s="8"/>
      <c r="Y25" s="8"/>
      <c r="Z25" s="52">
        <f t="shared" si="3"/>
        <v>2</v>
      </c>
      <c r="AA25" s="8">
        <v>2</v>
      </c>
      <c r="AB25" s="8"/>
      <c r="AC25" s="8"/>
      <c r="AD25" s="52">
        <f t="shared" si="4"/>
        <v>2</v>
      </c>
      <c r="AE25" s="8">
        <v>2</v>
      </c>
      <c r="AF25" s="8"/>
      <c r="AG25" s="8"/>
      <c r="AH25" s="52">
        <f t="shared" si="5"/>
        <v>2</v>
      </c>
      <c r="AI25" s="8">
        <v>2</v>
      </c>
      <c r="AJ25" s="8"/>
      <c r="AK25" s="8"/>
      <c r="AL25" s="52">
        <f t="shared" si="6"/>
        <v>2</v>
      </c>
      <c r="AM25" s="8"/>
      <c r="AN25" s="8"/>
      <c r="AO25" s="8">
        <v>1</v>
      </c>
      <c r="AP25" s="52">
        <f t="shared" si="7"/>
        <v>1</v>
      </c>
      <c r="AQ25" s="8">
        <v>1</v>
      </c>
      <c r="AR25" s="8"/>
      <c r="AS25" s="8"/>
      <c r="AT25" s="52">
        <f t="shared" si="8"/>
        <v>1</v>
      </c>
      <c r="AU25" s="8"/>
      <c r="AV25" s="8"/>
      <c r="AW25" s="8"/>
      <c r="AX25" s="52">
        <f t="shared" si="9"/>
        <v>0</v>
      </c>
      <c r="AY25" s="8"/>
      <c r="AZ25" s="8"/>
      <c r="BA25" s="8"/>
      <c r="BB25" s="52">
        <f t="shared" si="10"/>
        <v>0</v>
      </c>
      <c r="BC25" s="8"/>
      <c r="BD25" s="8"/>
      <c r="BE25" s="8"/>
      <c r="BF25" s="52">
        <f t="shared" si="11"/>
        <v>0</v>
      </c>
      <c r="BG25" s="8"/>
      <c r="BH25" s="8"/>
      <c r="BI25" s="8"/>
      <c r="BJ25" s="52">
        <f t="shared" si="12"/>
        <v>0</v>
      </c>
      <c r="BK25" s="8"/>
      <c r="BL25" s="8"/>
      <c r="BM25" s="8"/>
      <c r="BN25" s="8">
        <v>0</v>
      </c>
      <c r="BO25" s="52">
        <f t="shared" si="25"/>
        <v>0</v>
      </c>
      <c r="BP25" s="8"/>
      <c r="BQ25" s="8"/>
      <c r="BR25" s="8"/>
      <c r="BS25" s="8"/>
      <c r="BT25" s="84">
        <f t="shared" si="26"/>
        <v>0</v>
      </c>
      <c r="BU25" s="88"/>
      <c r="BV25" s="8"/>
      <c r="BW25" s="8"/>
      <c r="BX25" s="8"/>
      <c r="BY25" s="87">
        <f t="shared" si="16"/>
        <v>0</v>
      </c>
      <c r="BZ25" s="91"/>
      <c r="CA25" s="8"/>
      <c r="CB25" s="8"/>
      <c r="CC25" s="8"/>
      <c r="CD25" s="87">
        <f t="shared" si="13"/>
        <v>0</v>
      </c>
      <c r="CE25" s="91"/>
      <c r="CF25" s="8"/>
      <c r="CG25" s="8"/>
      <c r="CH25" s="8"/>
      <c r="CI25" s="87">
        <f t="shared" si="14"/>
        <v>0</v>
      </c>
      <c r="CJ25" s="91"/>
      <c r="CK25" s="8"/>
      <c r="CL25" s="8"/>
      <c r="CM25" s="8"/>
      <c r="CN25" s="87">
        <f t="shared" si="15"/>
        <v>0</v>
      </c>
    </row>
    <row r="26" spans="1:92" x14ac:dyDescent="0.35">
      <c r="A26" s="8" t="s">
        <v>418</v>
      </c>
      <c r="B26" s="8" t="s">
        <v>60</v>
      </c>
      <c r="C26" s="8">
        <v>1</v>
      </c>
      <c r="D26" s="8"/>
      <c r="E26" s="8"/>
      <c r="F26" s="52">
        <f t="shared" si="17"/>
        <v>1</v>
      </c>
      <c r="G26" s="8">
        <v>1</v>
      </c>
      <c r="H26" s="8"/>
      <c r="I26" s="8"/>
      <c r="J26" s="52">
        <f t="shared" si="23"/>
        <v>1</v>
      </c>
      <c r="K26" s="8">
        <v>1</v>
      </c>
      <c r="L26" s="8"/>
      <c r="M26" s="8"/>
      <c r="N26" s="52">
        <f t="shared" si="24"/>
        <v>1</v>
      </c>
      <c r="O26" s="8">
        <v>1</v>
      </c>
      <c r="P26" s="8"/>
      <c r="Q26" s="8"/>
      <c r="R26" s="52">
        <f t="shared" si="1"/>
        <v>1</v>
      </c>
      <c r="S26" s="8">
        <v>1</v>
      </c>
      <c r="T26" s="8"/>
      <c r="U26" s="8"/>
      <c r="V26" s="52">
        <f t="shared" si="2"/>
        <v>1</v>
      </c>
      <c r="W26" s="8">
        <v>1</v>
      </c>
      <c r="X26" s="8"/>
      <c r="Y26" s="8"/>
      <c r="Z26" s="52">
        <f t="shared" si="3"/>
        <v>1</v>
      </c>
      <c r="AA26" s="8">
        <v>1</v>
      </c>
      <c r="AB26" s="8"/>
      <c r="AC26" s="8"/>
      <c r="AD26" s="52">
        <f t="shared" si="4"/>
        <v>1</v>
      </c>
      <c r="AE26" s="8">
        <v>1</v>
      </c>
      <c r="AF26" s="8"/>
      <c r="AG26" s="8"/>
      <c r="AH26" s="52">
        <f t="shared" si="5"/>
        <v>1</v>
      </c>
      <c r="AI26" s="8">
        <v>1</v>
      </c>
      <c r="AJ26" s="8"/>
      <c r="AK26" s="8"/>
      <c r="AL26" s="52">
        <f t="shared" si="6"/>
        <v>1</v>
      </c>
      <c r="AM26" s="8"/>
      <c r="AN26" s="8"/>
      <c r="AO26" s="8"/>
      <c r="AP26" s="52">
        <f t="shared" si="7"/>
        <v>0</v>
      </c>
      <c r="AQ26" s="8"/>
      <c r="AR26" s="8"/>
      <c r="AS26" s="8"/>
      <c r="AT26" s="52">
        <f t="shared" si="8"/>
        <v>0</v>
      </c>
      <c r="AU26" s="8"/>
      <c r="AV26" s="8"/>
      <c r="AW26" s="8"/>
      <c r="AX26" s="52">
        <f t="shared" si="9"/>
        <v>0</v>
      </c>
      <c r="AY26" s="8"/>
      <c r="AZ26" s="8"/>
      <c r="BA26" s="8"/>
      <c r="BB26" s="52">
        <f t="shared" si="10"/>
        <v>0</v>
      </c>
      <c r="BC26" s="8"/>
      <c r="BD26" s="8"/>
      <c r="BE26" s="8"/>
      <c r="BF26" s="52">
        <f t="shared" si="11"/>
        <v>0</v>
      </c>
      <c r="BG26" s="8"/>
      <c r="BH26" s="8"/>
      <c r="BI26" s="8"/>
      <c r="BJ26" s="52">
        <f t="shared" si="12"/>
        <v>0</v>
      </c>
      <c r="BK26" s="8"/>
      <c r="BL26" s="8"/>
      <c r="BM26" s="8"/>
      <c r="BN26" s="8">
        <v>0</v>
      </c>
      <c r="BO26" s="52">
        <f t="shared" si="25"/>
        <v>0</v>
      </c>
      <c r="BP26" s="8"/>
      <c r="BQ26" s="8"/>
      <c r="BR26" s="8"/>
      <c r="BS26" s="8"/>
      <c r="BT26" s="84">
        <f t="shared" si="26"/>
        <v>0</v>
      </c>
      <c r="BU26" s="88"/>
      <c r="BV26" s="8"/>
      <c r="BW26" s="8"/>
      <c r="BX26" s="8"/>
      <c r="BY26" s="87">
        <f t="shared" si="16"/>
        <v>0</v>
      </c>
      <c r="BZ26" s="91"/>
      <c r="CA26" s="8"/>
      <c r="CB26" s="8"/>
      <c r="CC26" s="8"/>
      <c r="CD26" s="87">
        <f t="shared" si="13"/>
        <v>0</v>
      </c>
      <c r="CE26" s="91"/>
      <c r="CF26" s="8"/>
      <c r="CG26" s="8"/>
      <c r="CH26" s="8"/>
      <c r="CI26" s="87">
        <f t="shared" si="14"/>
        <v>0</v>
      </c>
      <c r="CJ26" s="91"/>
      <c r="CK26" s="8"/>
      <c r="CL26" s="8"/>
      <c r="CM26" s="8"/>
      <c r="CN26" s="87">
        <f t="shared" si="15"/>
        <v>0</v>
      </c>
    </row>
    <row r="27" spans="1:92" x14ac:dyDescent="0.35">
      <c r="A27" s="8" t="s">
        <v>418</v>
      </c>
      <c r="B27" s="8" t="s">
        <v>417</v>
      </c>
      <c r="C27" s="8">
        <v>1</v>
      </c>
      <c r="D27" s="8"/>
      <c r="E27" s="8"/>
      <c r="F27" s="52">
        <f t="shared" si="17"/>
        <v>1</v>
      </c>
      <c r="G27" s="8">
        <v>1</v>
      </c>
      <c r="H27" s="8"/>
      <c r="I27" s="8"/>
      <c r="J27" s="52">
        <f t="shared" si="23"/>
        <v>1</v>
      </c>
      <c r="K27" s="8">
        <v>1</v>
      </c>
      <c r="L27" s="8"/>
      <c r="M27" s="8"/>
      <c r="N27" s="52">
        <f t="shared" si="24"/>
        <v>1</v>
      </c>
      <c r="O27" s="8">
        <v>1</v>
      </c>
      <c r="P27" s="8"/>
      <c r="Q27" s="8"/>
      <c r="R27" s="52">
        <f t="shared" si="1"/>
        <v>1</v>
      </c>
      <c r="S27" s="8">
        <v>1</v>
      </c>
      <c r="T27" s="8"/>
      <c r="U27" s="8"/>
      <c r="V27" s="52">
        <f t="shared" si="2"/>
        <v>1</v>
      </c>
      <c r="W27" s="8">
        <v>1</v>
      </c>
      <c r="X27" s="8"/>
      <c r="Y27" s="8"/>
      <c r="Z27" s="52">
        <f t="shared" si="3"/>
        <v>1</v>
      </c>
      <c r="AA27" s="8">
        <v>1</v>
      </c>
      <c r="AB27" s="8"/>
      <c r="AC27" s="8"/>
      <c r="AD27" s="52">
        <f t="shared" si="4"/>
        <v>1</v>
      </c>
      <c r="AE27" s="8">
        <v>1</v>
      </c>
      <c r="AF27" s="8"/>
      <c r="AG27" s="8"/>
      <c r="AH27" s="52">
        <f t="shared" si="5"/>
        <v>1</v>
      </c>
      <c r="AI27" s="8">
        <v>1</v>
      </c>
      <c r="AJ27" s="8"/>
      <c r="AK27" s="8"/>
      <c r="AL27" s="52">
        <f t="shared" si="6"/>
        <v>1</v>
      </c>
      <c r="AM27" s="8"/>
      <c r="AN27" s="8"/>
      <c r="AO27" s="8"/>
      <c r="AP27" s="52">
        <f t="shared" si="7"/>
        <v>0</v>
      </c>
      <c r="AQ27" s="8"/>
      <c r="AR27" s="8"/>
      <c r="AS27" s="8"/>
      <c r="AT27" s="52">
        <f t="shared" si="8"/>
        <v>0</v>
      </c>
      <c r="AU27" s="8"/>
      <c r="AV27" s="8"/>
      <c r="AW27" s="8"/>
      <c r="AX27" s="52">
        <f t="shared" si="9"/>
        <v>0</v>
      </c>
      <c r="AY27" s="8"/>
      <c r="AZ27" s="8"/>
      <c r="BA27" s="8"/>
      <c r="BB27" s="52">
        <f t="shared" si="10"/>
        <v>0</v>
      </c>
      <c r="BC27" s="8"/>
      <c r="BD27" s="8"/>
      <c r="BE27" s="8"/>
      <c r="BF27" s="52">
        <f t="shared" si="11"/>
        <v>0</v>
      </c>
      <c r="BG27" s="8"/>
      <c r="BH27" s="8"/>
      <c r="BI27" s="8"/>
      <c r="BJ27" s="52">
        <f t="shared" si="12"/>
        <v>0</v>
      </c>
      <c r="BK27" s="8"/>
      <c r="BL27" s="8"/>
      <c r="BM27" s="8"/>
      <c r="BN27" s="8">
        <v>0</v>
      </c>
      <c r="BO27" s="52">
        <f t="shared" si="25"/>
        <v>0</v>
      </c>
      <c r="BP27" s="8"/>
      <c r="BQ27" s="8"/>
      <c r="BR27" s="8"/>
      <c r="BS27" s="8"/>
      <c r="BT27" s="84">
        <f t="shared" si="26"/>
        <v>0</v>
      </c>
      <c r="BU27" s="88"/>
      <c r="BV27" s="8"/>
      <c r="BW27" s="8"/>
      <c r="BX27" s="8"/>
      <c r="BY27" s="87">
        <f t="shared" si="16"/>
        <v>0</v>
      </c>
      <c r="BZ27" s="91"/>
      <c r="CA27" s="8"/>
      <c r="CB27" s="8"/>
      <c r="CC27" s="8"/>
      <c r="CD27" s="87">
        <f t="shared" si="13"/>
        <v>0</v>
      </c>
      <c r="CE27" s="91"/>
      <c r="CF27" s="8"/>
      <c r="CG27" s="8"/>
      <c r="CH27" s="8"/>
      <c r="CI27" s="87">
        <f t="shared" si="14"/>
        <v>0</v>
      </c>
      <c r="CJ27" s="91"/>
      <c r="CK27" s="8"/>
      <c r="CL27" s="8"/>
      <c r="CM27" s="8"/>
      <c r="CN27" s="87">
        <f t="shared" si="15"/>
        <v>0</v>
      </c>
    </row>
    <row r="28" spans="1:92" x14ac:dyDescent="0.35">
      <c r="A28" s="38" t="s">
        <v>24</v>
      </c>
      <c r="B28" s="38" t="s">
        <v>610</v>
      </c>
      <c r="C28" s="38"/>
      <c r="D28" s="38"/>
      <c r="E28" s="38"/>
      <c r="F28" s="54"/>
      <c r="G28" s="38"/>
      <c r="H28" s="38"/>
      <c r="I28" s="38"/>
      <c r="J28" s="54"/>
      <c r="K28" s="38"/>
      <c r="L28" s="38"/>
      <c r="M28" s="38"/>
      <c r="N28" s="54"/>
      <c r="O28" s="38"/>
      <c r="P28" s="38"/>
      <c r="Q28" s="38"/>
      <c r="R28" s="54"/>
      <c r="S28" s="38"/>
      <c r="T28" s="38"/>
      <c r="U28" s="38"/>
      <c r="V28" s="54"/>
      <c r="W28" s="38"/>
      <c r="X28" s="38"/>
      <c r="Y28" s="38"/>
      <c r="Z28" s="54"/>
      <c r="AA28" s="38"/>
      <c r="AB28" s="38"/>
      <c r="AC28" s="38"/>
      <c r="AD28" s="54"/>
      <c r="AE28" s="38"/>
      <c r="AF28" s="38"/>
      <c r="AG28" s="38"/>
      <c r="AH28" s="52">
        <f t="shared" si="5"/>
        <v>0</v>
      </c>
      <c r="AI28" s="38"/>
      <c r="AJ28" s="38"/>
      <c r="AK28" s="38"/>
      <c r="AL28" s="52">
        <f t="shared" si="6"/>
        <v>0</v>
      </c>
      <c r="AM28" s="38"/>
      <c r="AN28" s="38"/>
      <c r="AO28" s="38"/>
      <c r="AP28" s="52">
        <f t="shared" si="7"/>
        <v>0</v>
      </c>
      <c r="AQ28" s="38"/>
      <c r="AR28" s="38"/>
      <c r="AS28" s="38"/>
      <c r="AT28" s="52">
        <f t="shared" si="8"/>
        <v>0</v>
      </c>
      <c r="AU28" s="38"/>
      <c r="AV28" s="38"/>
      <c r="AW28" s="38"/>
      <c r="AX28" s="52">
        <f t="shared" si="9"/>
        <v>0</v>
      </c>
      <c r="AY28" s="38"/>
      <c r="AZ28" s="38">
        <v>2</v>
      </c>
      <c r="BA28" s="38"/>
      <c r="BB28" s="52">
        <f t="shared" si="10"/>
        <v>2</v>
      </c>
      <c r="BC28" s="38"/>
      <c r="BD28" s="38">
        <v>2</v>
      </c>
      <c r="BE28" s="38"/>
      <c r="BF28" s="52">
        <f t="shared" si="11"/>
        <v>2</v>
      </c>
      <c r="BG28" s="8"/>
      <c r="BH28" s="38"/>
      <c r="BI28" s="38"/>
      <c r="BJ28" s="52">
        <f t="shared" si="12"/>
        <v>0</v>
      </c>
      <c r="BK28" s="8"/>
      <c r="BL28" s="38"/>
      <c r="BM28" s="38"/>
      <c r="BN28" s="38">
        <v>0</v>
      </c>
      <c r="BO28" s="52">
        <f t="shared" si="25"/>
        <v>0</v>
      </c>
      <c r="BP28" s="8"/>
      <c r="BQ28" s="38"/>
      <c r="BR28" s="38"/>
      <c r="BS28" s="38"/>
      <c r="BT28" s="84">
        <f t="shared" si="26"/>
        <v>0</v>
      </c>
      <c r="BU28" s="88"/>
      <c r="BV28" s="38"/>
      <c r="BW28" s="38"/>
      <c r="BX28" s="38"/>
      <c r="BY28" s="87">
        <f t="shared" si="16"/>
        <v>0</v>
      </c>
      <c r="BZ28" s="91"/>
      <c r="CA28" s="38"/>
      <c r="CB28" s="38"/>
      <c r="CC28" s="38"/>
      <c r="CD28" s="87">
        <f t="shared" si="13"/>
        <v>0</v>
      </c>
      <c r="CE28" s="91"/>
      <c r="CF28" s="38"/>
      <c r="CG28" s="38"/>
      <c r="CH28" s="38"/>
      <c r="CI28" s="87">
        <f t="shared" si="14"/>
        <v>0</v>
      </c>
      <c r="CJ28" s="91"/>
      <c r="CK28" s="38"/>
      <c r="CL28" s="38"/>
      <c r="CM28" s="38"/>
      <c r="CN28" s="87">
        <f t="shared" si="15"/>
        <v>0</v>
      </c>
    </row>
    <row r="29" spans="1:92" x14ac:dyDescent="0.35">
      <c r="A29" s="38" t="s">
        <v>24</v>
      </c>
      <c r="B29" s="8" t="s">
        <v>611</v>
      </c>
      <c r="C29" s="38"/>
      <c r="D29" s="38"/>
      <c r="E29" s="38"/>
      <c r="F29" s="54"/>
      <c r="G29" s="38"/>
      <c r="H29" s="38"/>
      <c r="I29" s="38"/>
      <c r="J29" s="54"/>
      <c r="K29" s="38"/>
      <c r="L29" s="38"/>
      <c r="M29" s="38"/>
      <c r="N29" s="54"/>
      <c r="O29" s="38"/>
      <c r="P29" s="38"/>
      <c r="Q29" s="38"/>
      <c r="R29" s="54"/>
      <c r="S29" s="38"/>
      <c r="T29" s="38"/>
      <c r="U29" s="38"/>
      <c r="V29" s="54"/>
      <c r="W29" s="38"/>
      <c r="X29" s="38"/>
      <c r="Y29" s="38"/>
      <c r="Z29" s="54"/>
      <c r="AA29" s="38"/>
      <c r="AB29" s="38"/>
      <c r="AC29" s="38"/>
      <c r="AD29" s="54"/>
      <c r="AE29" s="38"/>
      <c r="AF29" s="38"/>
      <c r="AG29" s="38"/>
      <c r="AH29" s="52">
        <f t="shared" si="5"/>
        <v>0</v>
      </c>
      <c r="AI29" s="38"/>
      <c r="AJ29" s="38"/>
      <c r="AK29" s="38"/>
      <c r="AL29" s="52">
        <f t="shared" si="6"/>
        <v>0</v>
      </c>
      <c r="AM29" s="38"/>
      <c r="AN29" s="38"/>
      <c r="AO29" s="38"/>
      <c r="AP29" s="52">
        <f t="shared" si="7"/>
        <v>0</v>
      </c>
      <c r="AQ29" s="38"/>
      <c r="AR29" s="38"/>
      <c r="AS29" s="38"/>
      <c r="AT29" s="52">
        <f t="shared" si="8"/>
        <v>0</v>
      </c>
      <c r="AU29" s="38"/>
      <c r="AV29" s="38"/>
      <c r="AW29" s="38"/>
      <c r="AX29" s="52">
        <f t="shared" si="9"/>
        <v>0</v>
      </c>
      <c r="AY29" s="38"/>
      <c r="AZ29" s="38">
        <v>5</v>
      </c>
      <c r="BA29" s="38"/>
      <c r="BB29" s="52">
        <f t="shared" si="10"/>
        <v>5</v>
      </c>
      <c r="BC29" s="38"/>
      <c r="BD29" s="38">
        <v>4</v>
      </c>
      <c r="BE29" s="38"/>
      <c r="BF29" s="52">
        <f t="shared" si="11"/>
        <v>4</v>
      </c>
      <c r="BG29" s="8"/>
      <c r="BH29" s="38">
        <v>3</v>
      </c>
      <c r="BI29" s="38"/>
      <c r="BJ29" s="52">
        <f t="shared" si="12"/>
        <v>3</v>
      </c>
      <c r="BK29" s="8"/>
      <c r="BL29" s="38">
        <v>3</v>
      </c>
      <c r="BM29" s="38"/>
      <c r="BN29" s="38">
        <v>0</v>
      </c>
      <c r="BO29" s="52">
        <f t="shared" si="25"/>
        <v>3</v>
      </c>
      <c r="BP29" s="8"/>
      <c r="BQ29" s="38"/>
      <c r="BR29" s="38"/>
      <c r="BS29" s="38"/>
      <c r="BT29" s="84">
        <f t="shared" si="26"/>
        <v>0</v>
      </c>
      <c r="BU29" s="88"/>
      <c r="BV29" s="38">
        <v>3</v>
      </c>
      <c r="BW29" s="38"/>
      <c r="BX29" s="38"/>
      <c r="BY29" s="87">
        <f t="shared" si="16"/>
        <v>3</v>
      </c>
      <c r="BZ29" s="91"/>
      <c r="CA29" s="38"/>
      <c r="CB29" s="38">
        <v>3</v>
      </c>
      <c r="CC29" s="38"/>
      <c r="CD29" s="87">
        <f t="shared" si="13"/>
        <v>3</v>
      </c>
      <c r="CE29" s="91"/>
      <c r="CF29" s="38"/>
      <c r="CG29" s="38"/>
      <c r="CH29" s="38"/>
      <c r="CI29" s="87">
        <f t="shared" si="14"/>
        <v>0</v>
      </c>
      <c r="CJ29" s="91"/>
      <c r="CK29" s="38"/>
      <c r="CL29" s="38"/>
      <c r="CM29" s="38"/>
      <c r="CN29" s="87">
        <f t="shared" si="15"/>
        <v>0</v>
      </c>
    </row>
    <row r="30" spans="1:92" x14ac:dyDescent="0.35">
      <c r="A30" s="38" t="s">
        <v>420</v>
      </c>
      <c r="B30" s="38" t="s">
        <v>421</v>
      </c>
      <c r="C30" s="38"/>
      <c r="D30" s="38"/>
      <c r="E30" s="38"/>
      <c r="F30" s="54"/>
      <c r="G30" s="38"/>
      <c r="H30" s="38"/>
      <c r="I30" s="38"/>
      <c r="J30" s="54"/>
      <c r="K30" s="38"/>
      <c r="L30" s="38"/>
      <c r="M30" s="38"/>
      <c r="N30" s="54"/>
      <c r="O30" s="38"/>
      <c r="P30" s="38"/>
      <c r="Q30" s="38"/>
      <c r="R30" s="54"/>
      <c r="S30" s="38"/>
      <c r="T30" s="38"/>
      <c r="U30" s="38"/>
      <c r="V30" s="54"/>
      <c r="W30" s="38"/>
      <c r="X30" s="38"/>
      <c r="Y30" s="38"/>
      <c r="Z30" s="54"/>
      <c r="AA30" s="38"/>
      <c r="AB30" s="38"/>
      <c r="AC30" s="38"/>
      <c r="AD30" s="54"/>
      <c r="AE30" s="38"/>
      <c r="AF30" s="38"/>
      <c r="AG30" s="38"/>
      <c r="AH30" s="52">
        <f t="shared" si="5"/>
        <v>0</v>
      </c>
      <c r="AI30" s="38"/>
      <c r="AJ30" s="38"/>
      <c r="AK30" s="38"/>
      <c r="AL30" s="52">
        <f t="shared" si="6"/>
        <v>0</v>
      </c>
      <c r="AM30" s="38"/>
      <c r="AN30" s="38"/>
      <c r="AO30" s="38"/>
      <c r="AP30" s="52">
        <f t="shared" si="7"/>
        <v>0</v>
      </c>
      <c r="AQ30" s="38"/>
      <c r="AR30" s="38"/>
      <c r="AS30" s="38"/>
      <c r="AT30" s="52">
        <f t="shared" si="8"/>
        <v>0</v>
      </c>
      <c r="AU30" s="38"/>
      <c r="AV30" s="38"/>
      <c r="AW30" s="38"/>
      <c r="AX30" s="52">
        <f t="shared" si="9"/>
        <v>0</v>
      </c>
      <c r="AY30" s="38"/>
      <c r="AZ30" s="38"/>
      <c r="BA30" s="38"/>
      <c r="BB30" s="52">
        <f t="shared" si="10"/>
        <v>0</v>
      </c>
      <c r="BC30" s="38"/>
      <c r="BD30" s="38"/>
      <c r="BE30" s="38"/>
      <c r="BF30" s="52">
        <f t="shared" si="11"/>
        <v>0</v>
      </c>
      <c r="BG30" s="8"/>
      <c r="BH30" s="38"/>
      <c r="BI30" s="38"/>
      <c r="BJ30" s="52">
        <f t="shared" si="12"/>
        <v>0</v>
      </c>
      <c r="BK30" s="8"/>
      <c r="BL30" s="38"/>
      <c r="BM30" s="38"/>
      <c r="BN30" s="38">
        <v>0</v>
      </c>
      <c r="BO30" s="52">
        <f t="shared" si="25"/>
        <v>0</v>
      </c>
      <c r="BP30" s="8"/>
      <c r="BQ30" s="38"/>
      <c r="BR30" s="38"/>
      <c r="BS30" s="38"/>
      <c r="BT30" s="84">
        <f t="shared" si="26"/>
        <v>0</v>
      </c>
      <c r="BU30" s="88"/>
      <c r="BV30" s="38"/>
      <c r="BW30" s="38"/>
      <c r="BX30" s="38"/>
      <c r="BY30" s="87">
        <f t="shared" si="16"/>
        <v>0</v>
      </c>
      <c r="BZ30" s="91"/>
      <c r="CA30" s="38"/>
      <c r="CB30" s="38"/>
      <c r="CC30" s="38"/>
      <c r="CD30" s="87">
        <f t="shared" si="13"/>
        <v>0</v>
      </c>
      <c r="CE30" s="91"/>
      <c r="CF30" s="38"/>
      <c r="CG30" s="38"/>
      <c r="CH30" s="38"/>
      <c r="CI30" s="87">
        <f t="shared" si="14"/>
        <v>0</v>
      </c>
      <c r="CJ30" s="91"/>
      <c r="CK30" s="38"/>
      <c r="CL30" s="38"/>
      <c r="CM30" s="38"/>
      <c r="CN30" s="87">
        <f t="shared" si="15"/>
        <v>0</v>
      </c>
    </row>
    <row r="31" spans="1:92" ht="15" thickBot="1" x14ac:dyDescent="0.4">
      <c r="A31" s="38" t="s">
        <v>414</v>
      </c>
      <c r="B31" s="38" t="s">
        <v>415</v>
      </c>
      <c r="C31" s="38"/>
      <c r="D31" s="38"/>
      <c r="E31" s="38">
        <v>4</v>
      </c>
      <c r="F31" s="54">
        <f t="shared" si="17"/>
        <v>4</v>
      </c>
      <c r="G31" s="38"/>
      <c r="H31" s="38"/>
      <c r="I31" s="38">
        <v>4</v>
      </c>
      <c r="J31" s="54">
        <f t="shared" si="23"/>
        <v>4</v>
      </c>
      <c r="K31" s="38"/>
      <c r="L31" s="38"/>
      <c r="M31" s="38">
        <v>4</v>
      </c>
      <c r="N31" s="54">
        <f t="shared" si="24"/>
        <v>4</v>
      </c>
      <c r="O31" s="38"/>
      <c r="P31" s="38"/>
      <c r="Q31" s="38">
        <v>4</v>
      </c>
      <c r="R31" s="54">
        <f t="shared" si="1"/>
        <v>4</v>
      </c>
      <c r="S31" s="38"/>
      <c r="T31" s="38"/>
      <c r="U31" s="38">
        <v>4</v>
      </c>
      <c r="V31" s="54">
        <f t="shared" si="2"/>
        <v>4</v>
      </c>
      <c r="W31" s="38"/>
      <c r="X31" s="38"/>
      <c r="Y31" s="38">
        <v>4</v>
      </c>
      <c r="Z31" s="54">
        <f t="shared" si="3"/>
        <v>4</v>
      </c>
      <c r="AA31" s="38"/>
      <c r="AB31" s="38"/>
      <c r="AC31" s="38">
        <v>4</v>
      </c>
      <c r="AD31" s="54">
        <f>SUM(AA31:AC31)</f>
        <v>4</v>
      </c>
      <c r="AE31" s="38"/>
      <c r="AF31" s="38"/>
      <c r="AG31" s="38">
        <v>4</v>
      </c>
      <c r="AH31" s="54">
        <f>SUM(AE31:AG31)</f>
        <v>4</v>
      </c>
      <c r="AI31" s="38"/>
      <c r="AJ31" s="38"/>
      <c r="AK31" s="38">
        <v>4</v>
      </c>
      <c r="AL31" s="54">
        <f t="shared" si="6"/>
        <v>4</v>
      </c>
      <c r="AM31" s="38"/>
      <c r="AN31" s="38"/>
      <c r="AO31" s="38">
        <v>3</v>
      </c>
      <c r="AP31" s="54">
        <f t="shared" si="7"/>
        <v>3</v>
      </c>
      <c r="AQ31" s="38"/>
      <c r="AR31" s="38"/>
      <c r="AS31" s="38">
        <v>3</v>
      </c>
      <c r="AT31" s="54">
        <f t="shared" si="8"/>
        <v>3</v>
      </c>
      <c r="AU31" s="38"/>
      <c r="AV31" s="38"/>
      <c r="AW31" s="38"/>
      <c r="AX31" s="54">
        <f t="shared" si="9"/>
        <v>0</v>
      </c>
      <c r="AY31" s="38"/>
      <c r="AZ31" s="38"/>
      <c r="BA31" s="38"/>
      <c r="BB31" s="54">
        <f t="shared" si="10"/>
        <v>0</v>
      </c>
      <c r="BC31" s="38"/>
      <c r="BD31" s="38"/>
      <c r="BE31" s="38"/>
      <c r="BF31" s="54">
        <f t="shared" si="11"/>
        <v>0</v>
      </c>
      <c r="BG31" s="38"/>
      <c r="BH31" s="38"/>
      <c r="BI31" s="38"/>
      <c r="BJ31" s="54">
        <f t="shared" si="12"/>
        <v>0</v>
      </c>
      <c r="BK31" s="38"/>
      <c r="BL31" s="38"/>
      <c r="BM31" s="38"/>
      <c r="BN31" s="38">
        <v>0</v>
      </c>
      <c r="BO31" s="54">
        <f t="shared" si="25"/>
        <v>0</v>
      </c>
      <c r="BP31" s="38"/>
      <c r="BQ31" s="38"/>
      <c r="BR31" s="38"/>
      <c r="BS31" s="38"/>
      <c r="BT31" s="89">
        <f t="shared" si="26"/>
        <v>0</v>
      </c>
      <c r="BU31" s="75"/>
      <c r="BV31" s="76"/>
      <c r="BW31" s="76"/>
      <c r="BX31" s="76"/>
      <c r="BY31" s="70">
        <f t="shared" si="16"/>
        <v>0</v>
      </c>
      <c r="BZ31" s="92"/>
      <c r="CA31" s="38"/>
      <c r="CB31" s="38"/>
      <c r="CC31" s="38"/>
      <c r="CD31" s="87">
        <f t="shared" si="13"/>
        <v>0</v>
      </c>
      <c r="CE31" s="92"/>
      <c r="CF31" s="38"/>
      <c r="CG31" s="38"/>
      <c r="CH31" s="38"/>
      <c r="CI31" s="87">
        <f t="shared" si="14"/>
        <v>0</v>
      </c>
      <c r="CJ31" s="92"/>
      <c r="CK31" s="38"/>
      <c r="CL31" s="38"/>
      <c r="CM31" s="38"/>
      <c r="CN31" s="87">
        <f t="shared" si="15"/>
        <v>0</v>
      </c>
    </row>
    <row r="32" spans="1:92" ht="15" thickBot="1" x14ac:dyDescent="0.4">
      <c r="A32" s="55" t="s">
        <v>603</v>
      </c>
      <c r="B32" s="56"/>
      <c r="C32" s="56">
        <f>SUM(C3:C31)</f>
        <v>64</v>
      </c>
      <c r="D32" s="56"/>
      <c r="E32" s="56">
        <f>SUM(E3:E31)</f>
        <v>11</v>
      </c>
      <c r="F32" s="56">
        <f>SUM(F3:F31)</f>
        <v>75</v>
      </c>
      <c r="G32" s="56">
        <f>SUM(G3:G31)</f>
        <v>61</v>
      </c>
      <c r="H32" s="56"/>
      <c r="I32" s="56">
        <f>SUM(I3:I31)</f>
        <v>11</v>
      </c>
      <c r="J32" s="57">
        <f>SUM(J3:J31)</f>
        <v>72</v>
      </c>
      <c r="K32" s="56">
        <f>SUM(K3:K31)</f>
        <v>55</v>
      </c>
      <c r="L32" s="56"/>
      <c r="M32" s="56">
        <f>SUM(M3:M31)</f>
        <v>10</v>
      </c>
      <c r="N32" s="57">
        <f>SUM(N3:N31)</f>
        <v>65</v>
      </c>
      <c r="O32" s="56">
        <f>SUM(O3:O31)</f>
        <v>40</v>
      </c>
      <c r="P32" s="56"/>
      <c r="Q32" s="56">
        <f t="shared" ref="Q32:BJ32" si="27">SUM(Q3:Q31)</f>
        <v>19</v>
      </c>
      <c r="R32" s="57">
        <f t="shared" si="27"/>
        <v>59</v>
      </c>
      <c r="S32" s="56">
        <f t="shared" si="27"/>
        <v>40</v>
      </c>
      <c r="T32" s="56">
        <f t="shared" si="27"/>
        <v>1</v>
      </c>
      <c r="U32" s="56">
        <f t="shared" si="27"/>
        <v>19</v>
      </c>
      <c r="V32" s="57">
        <f t="shared" si="27"/>
        <v>60</v>
      </c>
      <c r="W32" s="56">
        <f t="shared" si="27"/>
        <v>44</v>
      </c>
      <c r="X32" s="56">
        <f t="shared" si="27"/>
        <v>0</v>
      </c>
      <c r="Y32" s="56">
        <f t="shared" si="27"/>
        <v>16</v>
      </c>
      <c r="Z32" s="57">
        <f t="shared" si="27"/>
        <v>60</v>
      </c>
      <c r="AA32" s="56">
        <f t="shared" si="27"/>
        <v>54</v>
      </c>
      <c r="AB32" s="56">
        <f t="shared" si="27"/>
        <v>0</v>
      </c>
      <c r="AC32" s="56">
        <f t="shared" si="27"/>
        <v>12</v>
      </c>
      <c r="AD32" s="57">
        <f t="shared" si="27"/>
        <v>66</v>
      </c>
      <c r="AE32" s="56">
        <f t="shared" si="27"/>
        <v>53</v>
      </c>
      <c r="AF32" s="56">
        <f t="shared" si="27"/>
        <v>0</v>
      </c>
      <c r="AG32" s="56">
        <f t="shared" si="27"/>
        <v>12</v>
      </c>
      <c r="AH32" s="57">
        <f t="shared" si="27"/>
        <v>65</v>
      </c>
      <c r="AI32" s="56">
        <f t="shared" si="27"/>
        <v>41</v>
      </c>
      <c r="AJ32" s="56">
        <f t="shared" si="27"/>
        <v>0</v>
      </c>
      <c r="AK32" s="56">
        <f t="shared" si="27"/>
        <v>11</v>
      </c>
      <c r="AL32" s="57">
        <f t="shared" si="27"/>
        <v>52</v>
      </c>
      <c r="AM32" s="56">
        <f t="shared" si="27"/>
        <v>41</v>
      </c>
      <c r="AN32" s="56">
        <f t="shared" si="27"/>
        <v>0</v>
      </c>
      <c r="AO32" s="56">
        <f t="shared" si="27"/>
        <v>13</v>
      </c>
      <c r="AP32" s="57">
        <f t="shared" si="27"/>
        <v>54</v>
      </c>
      <c r="AQ32" s="56">
        <f t="shared" si="27"/>
        <v>31</v>
      </c>
      <c r="AR32" s="56">
        <f t="shared" si="27"/>
        <v>0</v>
      </c>
      <c r="AS32" s="56">
        <f t="shared" si="27"/>
        <v>11</v>
      </c>
      <c r="AT32" s="57">
        <f t="shared" si="27"/>
        <v>42</v>
      </c>
      <c r="AU32" s="56">
        <f t="shared" si="27"/>
        <v>29</v>
      </c>
      <c r="AV32" s="56">
        <f t="shared" si="27"/>
        <v>0</v>
      </c>
      <c r="AW32" s="56">
        <f t="shared" si="27"/>
        <v>7</v>
      </c>
      <c r="AX32" s="57">
        <f t="shared" si="27"/>
        <v>36</v>
      </c>
      <c r="AY32" s="56">
        <f t="shared" si="27"/>
        <v>29</v>
      </c>
      <c r="AZ32" s="56">
        <f t="shared" si="27"/>
        <v>7</v>
      </c>
      <c r="BA32" s="56">
        <f t="shared" si="27"/>
        <v>5</v>
      </c>
      <c r="BB32" s="57">
        <f t="shared" si="27"/>
        <v>41</v>
      </c>
      <c r="BC32" s="56">
        <f t="shared" si="27"/>
        <v>25</v>
      </c>
      <c r="BD32" s="56">
        <f t="shared" si="27"/>
        <v>6</v>
      </c>
      <c r="BE32" s="56">
        <f t="shared" si="27"/>
        <v>5</v>
      </c>
      <c r="BF32" s="57">
        <f t="shared" si="27"/>
        <v>36</v>
      </c>
      <c r="BG32" s="56">
        <f t="shared" si="27"/>
        <v>27</v>
      </c>
      <c r="BH32" s="56">
        <f t="shared" si="27"/>
        <v>5</v>
      </c>
      <c r="BI32" s="56">
        <f t="shared" si="27"/>
        <v>4</v>
      </c>
      <c r="BJ32" s="57">
        <f t="shared" si="27"/>
        <v>36</v>
      </c>
      <c r="BK32" s="56">
        <f t="shared" ref="BK32:BY32" si="28">SUM(BK3:BK31)</f>
        <v>27</v>
      </c>
      <c r="BL32" s="56">
        <f t="shared" si="28"/>
        <v>4</v>
      </c>
      <c r="BM32" s="56">
        <f t="shared" si="28"/>
        <v>4</v>
      </c>
      <c r="BN32" s="56">
        <f t="shared" si="28"/>
        <v>0</v>
      </c>
      <c r="BO32" s="57">
        <f t="shared" si="28"/>
        <v>35</v>
      </c>
      <c r="BP32" s="56">
        <f t="shared" si="28"/>
        <v>0</v>
      </c>
      <c r="BQ32" s="56">
        <f t="shared" si="28"/>
        <v>0</v>
      </c>
      <c r="BR32" s="56">
        <f t="shared" si="28"/>
        <v>0</v>
      </c>
      <c r="BS32" s="56">
        <f t="shared" si="28"/>
        <v>0</v>
      </c>
      <c r="BT32" s="57">
        <f t="shared" si="28"/>
        <v>0</v>
      </c>
      <c r="BU32" s="56">
        <f t="shared" si="28"/>
        <v>17</v>
      </c>
      <c r="BV32" s="56">
        <f t="shared" si="28"/>
        <v>4</v>
      </c>
      <c r="BW32" s="56">
        <f t="shared" si="28"/>
        <v>7</v>
      </c>
      <c r="BX32" s="56">
        <f t="shared" si="28"/>
        <v>3</v>
      </c>
      <c r="BY32" s="85">
        <f t="shared" si="28"/>
        <v>28</v>
      </c>
      <c r="BZ32" s="55">
        <f t="shared" ref="BZ32:CD32" si="29">SUM(BZ3:BZ31)</f>
        <v>16</v>
      </c>
      <c r="CA32" s="56">
        <f t="shared" si="29"/>
        <v>1</v>
      </c>
      <c r="CB32" s="56">
        <f t="shared" si="29"/>
        <v>10</v>
      </c>
      <c r="CC32" s="56">
        <f t="shared" si="29"/>
        <v>4</v>
      </c>
      <c r="CD32" s="57">
        <f t="shared" si="29"/>
        <v>27</v>
      </c>
      <c r="CE32" s="55">
        <f t="shared" ref="CE32:CI32" si="30">SUM(CE3:CE31)</f>
        <v>16</v>
      </c>
      <c r="CF32" s="56">
        <f t="shared" si="30"/>
        <v>3</v>
      </c>
      <c r="CG32" s="56">
        <f>SUM(CG3:CG31)</f>
        <v>4</v>
      </c>
      <c r="CH32" s="56">
        <f t="shared" si="30"/>
        <v>4</v>
      </c>
      <c r="CI32" s="57">
        <f t="shared" si="30"/>
        <v>23</v>
      </c>
      <c r="CJ32" s="55">
        <f t="shared" ref="CJ32:CK32" si="31">SUM(CJ3:CJ31)</f>
        <v>0</v>
      </c>
      <c r="CK32" s="56">
        <f t="shared" si="31"/>
        <v>0</v>
      </c>
      <c r="CL32" s="56">
        <f>SUM(CL3:CL31)</f>
        <v>0</v>
      </c>
      <c r="CM32" s="56">
        <f t="shared" ref="CM32:CN32" si="32">SUM(CM3:CM31)</f>
        <v>0</v>
      </c>
      <c r="CN32" s="57">
        <f t="shared" si="32"/>
        <v>0</v>
      </c>
    </row>
    <row r="33" spans="1:92" x14ac:dyDescent="0.35">
      <c r="A33" s="67" t="s">
        <v>612</v>
      </c>
      <c r="B33" s="71"/>
      <c r="C33" s="73">
        <f>C4+C7+C10+C15+C17+C21+C22+C24+C25+C26+C27+C31</f>
        <v>12</v>
      </c>
      <c r="D33" s="74">
        <f>D5</f>
        <v>0</v>
      </c>
      <c r="E33" s="74">
        <f>E3+E7+E10+E15+E17+E21+E22+E24+E25+E26+E27</f>
        <v>4</v>
      </c>
      <c r="F33" s="68">
        <f t="shared" ref="F33:F34" si="33">SUM(C33:E33)</f>
        <v>16</v>
      </c>
      <c r="G33" s="73">
        <f>G4+G7+G10+G15+G17+G21+G22+G24+G25+G26+G27+G31</f>
        <v>13</v>
      </c>
      <c r="H33" s="74">
        <f>H5</f>
        <v>0</v>
      </c>
      <c r="I33" s="74">
        <f>I3+I7+I10+I15+I17+I21+I22+I24+I25+I26+I27</f>
        <v>4</v>
      </c>
      <c r="J33" s="68">
        <f t="shared" ref="J33" si="34">SUM(G33:I33)</f>
        <v>17</v>
      </c>
      <c r="K33" s="73">
        <f>K4+K7+K10+K15+K17+K21+K22+K24+K25+K26+K27+K31</f>
        <v>12</v>
      </c>
      <c r="L33" s="74">
        <f>L5</f>
        <v>0</v>
      </c>
      <c r="M33" s="74">
        <f>M3+M7+M10+M15+M17+M21+M22+M24+M25+M26+M27</f>
        <v>4</v>
      </c>
      <c r="N33" s="68">
        <f t="shared" ref="N33:N34" si="35">SUM(K33:M33)</f>
        <v>16</v>
      </c>
      <c r="O33" s="73">
        <f>O4+O7+O10+O15+O17+O21+O22+O24+O25+O26+O27+O31</f>
        <v>12</v>
      </c>
      <c r="P33" s="74">
        <f>P5</f>
        <v>0</v>
      </c>
      <c r="Q33" s="74">
        <f>Q3+Q7+Q10+Q15+Q17+Q21+Q22+Q24+Q25+Q26+Q27</f>
        <v>13</v>
      </c>
      <c r="R33" s="68">
        <f t="shared" ref="R33:R34" si="36">SUM(O33:Q33)</f>
        <v>25</v>
      </c>
      <c r="S33" s="78">
        <f>S4+S7+S10+S15+S17+S21+S22+S24+S25+S26+S27+S31</f>
        <v>12</v>
      </c>
      <c r="T33" s="74">
        <v>0</v>
      </c>
      <c r="U33" s="74">
        <f>U3+U7+U10+U15+U17+U24+U25+U26+U27</f>
        <v>10</v>
      </c>
      <c r="V33" s="68">
        <f t="shared" si="2"/>
        <v>22</v>
      </c>
      <c r="W33" s="78">
        <f>W4+W7+W10+W15+W17+W21+W22+W24+W25+W26+W27+W31</f>
        <v>12</v>
      </c>
      <c r="X33" s="74">
        <v>0</v>
      </c>
      <c r="Y33" s="74">
        <f>Y3+Y7+Y10+Y15+Y17+Y24+Y25+Y26+Y27</f>
        <v>7</v>
      </c>
      <c r="Z33" s="68">
        <f t="shared" ref="Z33:Z34" si="37">SUM(W33:Y33)</f>
        <v>19</v>
      </c>
      <c r="AA33" s="78">
        <f>AA4+AA7+AA10+AA15+AA17+AA21+AA22+AA24+AA25+AA26+AA27+AA31</f>
        <v>12</v>
      </c>
      <c r="AB33" s="74">
        <v>0</v>
      </c>
      <c r="AC33" s="74">
        <f>AC3+AC7+AC10+AC15+AC17+AC24+AC25+AC26+AC27</f>
        <v>3</v>
      </c>
      <c r="AD33" s="68">
        <f>SUM(AA33:AC33)</f>
        <v>15</v>
      </c>
      <c r="AE33" s="78">
        <f>AE4+AE7+AE10+AE15+AE17+AE21+AE22+AE24+AE25+AE26+AE27+AE31</f>
        <v>12</v>
      </c>
      <c r="AF33" s="74">
        <v>0</v>
      </c>
      <c r="AG33" s="74">
        <f>AG3+AG7+AG10+AG15+AG17+AG24+AG25+AG26+AG27</f>
        <v>3</v>
      </c>
      <c r="AH33" s="68">
        <f>SUM(AE33:AG33)</f>
        <v>15</v>
      </c>
      <c r="AI33" s="78">
        <f>AI4+AI7+AI10+AI15+AI17+AI21+AI22+AI24+AI25+AI26+AI27+AI31</f>
        <v>11</v>
      </c>
      <c r="AJ33" s="74">
        <v>0</v>
      </c>
      <c r="AK33" s="74">
        <f>AK3+AK7+AK10+AK15+AK17+AK24+AK25+AK26+AK27</f>
        <v>2</v>
      </c>
      <c r="AL33" s="68">
        <f>SUM(AI33:AK33)</f>
        <v>13</v>
      </c>
      <c r="AM33" s="78">
        <f>AM4+AM7+AM10+AM15+AM17+AM21+AM22+AM24+AM25+AM26+AM27+AM31</f>
        <v>11</v>
      </c>
      <c r="AN33" s="74">
        <v>0</v>
      </c>
      <c r="AO33" s="74">
        <f>AO3+AO7+AO10+AO15+AO17+AO24+AO25+AO26+AO27</f>
        <v>4</v>
      </c>
      <c r="AP33" s="68">
        <f>SUM(AM33:AO33)</f>
        <v>15</v>
      </c>
      <c r="AQ33" s="78">
        <f>AQ4+AQ7+AQ10+AQ15+AQ17+AQ21+AQ22+AQ24+AQ25+AQ26+AQ27+AQ31</f>
        <v>11</v>
      </c>
      <c r="AR33" s="74">
        <v>0</v>
      </c>
      <c r="AS33" s="74">
        <f>AS3+AS7+AS10+AS15+AS17+AS24+AS25+AS26+AS27+AS21</f>
        <v>6</v>
      </c>
      <c r="AT33" s="68">
        <f>SUM(AQ33:AS33)</f>
        <v>17</v>
      </c>
      <c r="AU33" s="78">
        <f>AU4+AU7+AU10+AU15+AU17+AU21+AU22+AU24+AU25+AU26+AU27+AU31</f>
        <v>9</v>
      </c>
      <c r="AV33" s="74">
        <v>0</v>
      </c>
      <c r="AW33" s="74">
        <f>AW3+AW7+AW10+AW15+AW17+AW24+AW25+AW26+AW27+AW21</f>
        <v>5</v>
      </c>
      <c r="AX33" s="68">
        <f>SUM(AU33:AW33)</f>
        <v>14</v>
      </c>
      <c r="AY33" s="78">
        <f>AY4+AY7+AY10+AY15+AY17+AY21+AY22+AY24+AY25+AY26+AY27+AY31</f>
        <v>9</v>
      </c>
      <c r="AZ33" s="74">
        <v>0</v>
      </c>
      <c r="BA33" s="74">
        <f>BA3+BA7+BA10+BA15+BA17+BA24+BA25+BA26+BA27+BA21</f>
        <v>4</v>
      </c>
      <c r="BB33" s="68">
        <f>SUM(AY33:BA33)</f>
        <v>13</v>
      </c>
      <c r="BC33" s="78">
        <f>BC4+BC7+BC10+BC15+BC17+BC21+BC22+BC24+BC25+BC26+BC27+BC31</f>
        <v>8</v>
      </c>
      <c r="BD33" s="74">
        <v>0</v>
      </c>
      <c r="BE33" s="74">
        <f>BE3+BE7+BE10+BE15+BE17+BE24+BE25+BE26+BE27+BE21</f>
        <v>4</v>
      </c>
      <c r="BF33" s="68">
        <f>SUM(BC33:BE33)</f>
        <v>12</v>
      </c>
      <c r="BG33" s="78">
        <f>BG4+BG7+BG10+BG15+BG17+BG21+BG22+BG24+BG25+BG26+BG27+BG31</f>
        <v>9</v>
      </c>
      <c r="BH33" s="74">
        <v>0</v>
      </c>
      <c r="BI33" s="74">
        <f>BI3+BI7+BI10+BI15+BI17+BI24+BI25+BI26+BI27+BI21</f>
        <v>4</v>
      </c>
      <c r="BJ33" s="68">
        <f>SUM(BG33:BI33)</f>
        <v>13</v>
      </c>
      <c r="BK33" s="78">
        <f>BK4+BK7+BK10+BK15+BK17+BK21+BK22+BK24+BK25+BK26+BK27+BK31</f>
        <v>9</v>
      </c>
      <c r="BL33" s="74">
        <v>0</v>
      </c>
      <c r="BM33" s="74">
        <f>BM3+BM7+BM10+BM15+BM17+BM24+BM25+BM26+BM27+BM21</f>
        <v>4</v>
      </c>
      <c r="BN33" s="74">
        <f>BN3+BN7+BN10+BN15+BN17+BN24+BN25+BN26+BN27+BN21</f>
        <v>0</v>
      </c>
      <c r="BO33" s="68">
        <f>SUM(BK33:BM33)</f>
        <v>13</v>
      </c>
      <c r="BP33" s="78">
        <f>BP4+BP7+BP10+BP15+BP17+BP21+BP22+BP24+BP25+BP26+BP27+BP31</f>
        <v>0</v>
      </c>
      <c r="BQ33" s="74">
        <v>0</v>
      </c>
      <c r="BR33" s="74">
        <f>BR3+BR7+BR10+BR15+BR17+BR24+BR25+BR26+BR27+BR21</f>
        <v>0</v>
      </c>
      <c r="BS33" s="74">
        <f>BS3+BS7+BS10+BS15+BS17+BS24+BS25+BS26+BS27+BS21</f>
        <v>0</v>
      </c>
      <c r="BT33" s="68">
        <f>SUM(BP33:BR33)</f>
        <v>0</v>
      </c>
      <c r="BU33" s="78">
        <f>BU4+BU7+BU10+BU15+BU17+BU21+BU22+BU24+BU25+BU26+BU27+BU31</f>
        <v>11</v>
      </c>
      <c r="BV33" s="74">
        <v>0</v>
      </c>
      <c r="BW33" s="74">
        <f>BW3+BW7+BW10+BW15+BW17+BW24+BW25+BW26+BW27+BW21</f>
        <v>5</v>
      </c>
      <c r="BX33" s="74">
        <f>BX3+BX7+BX10+BX15+BX17+BX24+BX25+BX26+BX27+BX21</f>
        <v>3</v>
      </c>
      <c r="BY33" s="71">
        <f>SUM(BU33:BW33)</f>
        <v>16</v>
      </c>
      <c r="BZ33" s="73">
        <f>BZ4+BZ7+BZ10+BZ15+BZ17+BZ21+BZ22+BZ24+BZ25+BZ26+BZ27+BZ31</f>
        <v>10</v>
      </c>
      <c r="CA33" s="74">
        <v>0</v>
      </c>
      <c r="CB33" s="74">
        <f>CB3+CB7+CB10+CB15+CB17+CB24+CB25+CB26+CB27+CB21</f>
        <v>5</v>
      </c>
      <c r="CC33" s="74">
        <f>CC3+CC7+CC10+CC15+CC17+CC24+CC25+CC26+CC27+CC21</f>
        <v>4</v>
      </c>
      <c r="CD33" s="68">
        <f>SUM(BZ33:CB33)</f>
        <v>15</v>
      </c>
      <c r="CE33" s="73">
        <f>CE4+CE7+CE10+CE15+CE17+CE21+CE22+CE24+CE25+CE26+CE27+CE31</f>
        <v>9</v>
      </c>
      <c r="CF33" s="74">
        <v>0</v>
      </c>
      <c r="CG33" s="74">
        <f>CG3+CG7+CG10+CG15+CG17+CG24+CG25+CG26+CG27+CG21</f>
        <v>4</v>
      </c>
      <c r="CH33" s="74">
        <f>CH3+CH7+CH10+CH15+CH17+CH24+CH25+CH26+CH27+CH21</f>
        <v>4</v>
      </c>
      <c r="CI33" s="68">
        <f>SUM(CE33:CG33)</f>
        <v>13</v>
      </c>
      <c r="CJ33" s="73">
        <f>CJ4+CJ7+CJ10+CJ15+CJ17+CJ21+CJ22+CJ24+CJ25+CJ26+CJ27+CJ31</f>
        <v>0</v>
      </c>
      <c r="CK33" s="74">
        <v>0</v>
      </c>
      <c r="CL33" s="74">
        <f>CL3+CL7+CL10+CL15+CL17+CL24+CL25+CL26+CL27+CL21</f>
        <v>0</v>
      </c>
      <c r="CM33" s="74">
        <f>CM3+CM7+CM10+CM15+CM17+CM24+CM25+CM26+CM27+CM21</f>
        <v>0</v>
      </c>
      <c r="CN33" s="68">
        <f>SUM(CJ33:CL33)</f>
        <v>0</v>
      </c>
    </row>
    <row r="34" spans="1:92" ht="15" thickBot="1" x14ac:dyDescent="0.4">
      <c r="A34" s="69" t="s">
        <v>613</v>
      </c>
      <c r="B34" s="72"/>
      <c r="C34" s="75">
        <f>C6+C11+C16</f>
        <v>37</v>
      </c>
      <c r="D34" s="76">
        <f>D5</f>
        <v>0</v>
      </c>
      <c r="E34" s="76">
        <f>E20+E21+E24+E31</f>
        <v>9</v>
      </c>
      <c r="F34" s="70">
        <f t="shared" si="33"/>
        <v>46</v>
      </c>
      <c r="G34" s="77">
        <f>G6+G11+G16</f>
        <v>33</v>
      </c>
      <c r="H34" s="76">
        <f>H5</f>
        <v>0</v>
      </c>
      <c r="I34" s="76">
        <f>I20+I21+I24+I31</f>
        <v>9</v>
      </c>
      <c r="J34" s="70">
        <f t="shared" ref="J34" si="38">SUM(G34:I34)</f>
        <v>42</v>
      </c>
      <c r="K34" s="77">
        <f>K6+K11+K16</f>
        <v>29</v>
      </c>
      <c r="L34" s="76">
        <f>L5</f>
        <v>0</v>
      </c>
      <c r="M34" s="76">
        <f>M20+M21+M24+M31</f>
        <v>9</v>
      </c>
      <c r="N34" s="70">
        <f t="shared" si="35"/>
        <v>38</v>
      </c>
      <c r="O34" s="77">
        <f>O6+O11+O16</f>
        <v>28</v>
      </c>
      <c r="P34" s="76">
        <f>P5</f>
        <v>0</v>
      </c>
      <c r="Q34" s="76">
        <f>Q20+Q21+Q24+Q31</f>
        <v>9</v>
      </c>
      <c r="R34" s="70">
        <f t="shared" si="36"/>
        <v>37</v>
      </c>
      <c r="S34" s="77">
        <f>S6+S11+S16</f>
        <v>28</v>
      </c>
      <c r="T34" s="76">
        <f>T5</f>
        <v>1</v>
      </c>
      <c r="U34" s="76">
        <f>U20+U21+U24+U31</f>
        <v>9</v>
      </c>
      <c r="V34" s="70">
        <f t="shared" si="2"/>
        <v>38</v>
      </c>
      <c r="W34" s="77">
        <f>W6+W11+W16</f>
        <v>32</v>
      </c>
      <c r="X34" s="76">
        <f>X5</f>
        <v>0</v>
      </c>
      <c r="Y34" s="76">
        <f>Y20+Y21+Y24+Y31</f>
        <v>9</v>
      </c>
      <c r="Z34" s="70">
        <f t="shared" si="37"/>
        <v>41</v>
      </c>
      <c r="AA34" s="77">
        <f>AA6+AA11+AA16</f>
        <v>42</v>
      </c>
      <c r="AB34" s="76">
        <f>AB5</f>
        <v>0</v>
      </c>
      <c r="AC34" s="76">
        <f>AC20+AC21+AC24+AC31</f>
        <v>9</v>
      </c>
      <c r="AD34" s="70">
        <f>SUM(AA34:AC34)</f>
        <v>51</v>
      </c>
      <c r="AE34" s="77">
        <f>AE6+AE11+AE16</f>
        <v>41</v>
      </c>
      <c r="AF34" s="76">
        <f>AF5</f>
        <v>0</v>
      </c>
      <c r="AG34" s="76">
        <f>AG20+AG21+AG24+AG31</f>
        <v>9</v>
      </c>
      <c r="AH34" s="70">
        <f>SUM(AE34:AG34)</f>
        <v>50</v>
      </c>
      <c r="AI34" s="77">
        <f>AI6+AI11+AI16</f>
        <v>30</v>
      </c>
      <c r="AJ34" s="76">
        <f>AJ5</f>
        <v>0</v>
      </c>
      <c r="AK34" s="76">
        <f>AK20+AK21+AK24+AK31</f>
        <v>9</v>
      </c>
      <c r="AL34" s="70">
        <f>SUM(AI34:AK34)</f>
        <v>39</v>
      </c>
      <c r="AM34" s="77">
        <f>AM6+AM11+AM16</f>
        <v>29</v>
      </c>
      <c r="AN34" s="76">
        <f>AN5</f>
        <v>0</v>
      </c>
      <c r="AO34" s="76">
        <f>AO20+AO21+AO24+AO31</f>
        <v>8</v>
      </c>
      <c r="AP34" s="70">
        <f>SUM(AM34:AO34)</f>
        <v>37</v>
      </c>
      <c r="AQ34" s="77">
        <f>AQ6+AQ11+AQ16</f>
        <v>18</v>
      </c>
      <c r="AR34" s="76">
        <f>AR5</f>
        <v>0</v>
      </c>
      <c r="AS34" s="76">
        <f>AS20+AS21+AS24+AS31</f>
        <v>6</v>
      </c>
      <c r="AT34" s="70">
        <f>SUM(AQ34:AS34)</f>
        <v>24</v>
      </c>
      <c r="AU34" s="77">
        <f>AU6+AU11+AU16</f>
        <v>18</v>
      </c>
      <c r="AV34" s="76">
        <f>AV5</f>
        <v>0</v>
      </c>
      <c r="AW34" s="76">
        <f>AW20+AW21+AW24+AW31</f>
        <v>2</v>
      </c>
      <c r="AX34" s="70">
        <f>SUM(AU34:AW34)</f>
        <v>20</v>
      </c>
      <c r="AY34" s="77">
        <f>AY6+AY11+AY16</f>
        <v>17</v>
      </c>
      <c r="AZ34" s="76">
        <f>AZ5</f>
        <v>0</v>
      </c>
      <c r="BA34" s="76">
        <f>BA20+BA21+BA24+BA31</f>
        <v>2</v>
      </c>
      <c r="BB34" s="70">
        <f>SUM(AY34:BA34)</f>
        <v>19</v>
      </c>
      <c r="BC34" s="77">
        <f>BC6+BC11+BC16</f>
        <v>14</v>
      </c>
      <c r="BD34" s="76">
        <f>BD5</f>
        <v>0</v>
      </c>
      <c r="BE34" s="76">
        <f>BE20+BE21+BE24+BE31</f>
        <v>2</v>
      </c>
      <c r="BF34" s="70">
        <f>SUM(BC34:BE34)</f>
        <v>16</v>
      </c>
      <c r="BG34" s="77">
        <f>BG6+BG11+BG16</f>
        <v>11</v>
      </c>
      <c r="BH34" s="76">
        <f>BH5</f>
        <v>0</v>
      </c>
      <c r="BI34" s="76">
        <f>BI20+BI21+BI24+BI31</f>
        <v>0</v>
      </c>
      <c r="BJ34" s="70">
        <f>SUM(BG34:BI34)</f>
        <v>11</v>
      </c>
      <c r="BK34" s="77">
        <f>BK6+BK11+BK16</f>
        <v>10</v>
      </c>
      <c r="BL34" s="76">
        <f>BL5</f>
        <v>0</v>
      </c>
      <c r="BM34" s="76">
        <f>BM20+BM21+BM24+BM31</f>
        <v>0</v>
      </c>
      <c r="BN34" s="76">
        <f>BN20+BN21+BN24+BN31</f>
        <v>0</v>
      </c>
      <c r="BO34" s="70">
        <f>SUM(BK34:BM34)</f>
        <v>10</v>
      </c>
      <c r="BP34" s="77">
        <f>BP6+BP11+BP16</f>
        <v>0</v>
      </c>
      <c r="BQ34" s="76">
        <f>BQ5</f>
        <v>0</v>
      </c>
      <c r="BR34" s="76">
        <f>BR20+BR21+BR24+BR31</f>
        <v>0</v>
      </c>
      <c r="BS34" s="76">
        <f>BS20+BS21+BS24+BS31</f>
        <v>0</v>
      </c>
      <c r="BT34" s="70">
        <f>SUM(BP34:BR34)</f>
        <v>0</v>
      </c>
      <c r="BU34" s="77">
        <f>BU6+BU11+BU16</f>
        <v>4</v>
      </c>
      <c r="BV34" s="76">
        <f>BV5</f>
        <v>0</v>
      </c>
      <c r="BW34" s="76">
        <f>BW20+BW21+BW24+BW31</f>
        <v>0</v>
      </c>
      <c r="BX34" s="76">
        <f>BX20+BX21+BX24+BX31</f>
        <v>0</v>
      </c>
      <c r="BY34" s="72">
        <f>SUM(BU34:BW34)</f>
        <v>4</v>
      </c>
      <c r="BZ34" s="75">
        <f>BZ6+BZ11+BZ16</f>
        <v>4</v>
      </c>
      <c r="CA34" s="76">
        <f>CA5</f>
        <v>0</v>
      </c>
      <c r="CB34" s="76">
        <f>CB20+CB21+CB24+CB31</f>
        <v>0</v>
      </c>
      <c r="CC34" s="76">
        <f>CC20+CC21+CC24+CC31</f>
        <v>0</v>
      </c>
      <c r="CD34" s="70">
        <f>SUM(BZ34:CB34)</f>
        <v>4</v>
      </c>
      <c r="CE34" s="75">
        <f>CE6+CE11+CE16</f>
        <v>3</v>
      </c>
      <c r="CF34" s="76">
        <f>CF5</f>
        <v>0</v>
      </c>
      <c r="CG34" s="76">
        <f>CG20+CG21+CG24+CG31</f>
        <v>0</v>
      </c>
      <c r="CH34" s="76">
        <f>CH20+CH21+CH24+CH31</f>
        <v>0</v>
      </c>
      <c r="CI34" s="70">
        <f>SUM(CE34:CG34)</f>
        <v>3</v>
      </c>
      <c r="CJ34" s="75">
        <f>CJ6+CJ11+CJ16</f>
        <v>0</v>
      </c>
      <c r="CK34" s="76">
        <f>CK5</f>
        <v>0</v>
      </c>
      <c r="CL34" s="76">
        <f>CL20+CL21+CL24+CL31</f>
        <v>0</v>
      </c>
      <c r="CM34" s="76">
        <f>CM20+CM21+CM24+CM31</f>
        <v>0</v>
      </c>
      <c r="CN34" s="70">
        <f>SUM(CJ34:CL34)</f>
        <v>0</v>
      </c>
    </row>
    <row r="35" spans="1:92" hidden="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7" spans="1:92" x14ac:dyDescent="0.35">
      <c r="C37" s="96">
        <v>46232</v>
      </c>
      <c r="D37" s="96"/>
      <c r="E37" s="96"/>
      <c r="F37" s="96"/>
      <c r="G37" s="96">
        <v>46237</v>
      </c>
      <c r="H37" s="96"/>
      <c r="I37" s="96"/>
      <c r="J37" s="96"/>
      <c r="K37" s="96">
        <v>46238</v>
      </c>
      <c r="L37" s="96"/>
      <c r="M37" s="96"/>
      <c r="N37" s="96"/>
      <c r="O37" s="96">
        <v>46239</v>
      </c>
      <c r="P37" s="96"/>
      <c r="Q37" s="96"/>
      <c r="R37" s="96"/>
      <c r="S37" s="96">
        <v>46240</v>
      </c>
      <c r="T37" s="96"/>
      <c r="U37" s="96"/>
      <c r="V37" s="96"/>
      <c r="W37" s="96">
        <v>46241</v>
      </c>
      <c r="X37" s="96"/>
      <c r="Y37" s="96"/>
      <c r="Z37" s="96"/>
      <c r="AA37" s="96">
        <v>46244</v>
      </c>
      <c r="AB37" s="96"/>
      <c r="AC37" s="96"/>
      <c r="AD37" s="96"/>
      <c r="AE37" s="96">
        <f>AE1</f>
        <v>46245</v>
      </c>
      <c r="AF37" s="96"/>
      <c r="AG37" s="96"/>
      <c r="AH37" s="96"/>
      <c r="AI37" s="96">
        <f>AI1</f>
        <v>46246</v>
      </c>
      <c r="AJ37" s="96"/>
      <c r="AK37" s="96"/>
      <c r="AL37" s="96"/>
      <c r="AM37" s="96">
        <f>AM1</f>
        <v>46247</v>
      </c>
      <c r="AN37" s="96"/>
      <c r="AO37" s="96"/>
      <c r="AP37" s="96"/>
      <c r="AQ37" s="96">
        <f>AQ1</f>
        <v>46248</v>
      </c>
      <c r="AR37" s="96"/>
      <c r="AS37" s="96"/>
      <c r="AT37" s="96"/>
      <c r="AU37" s="96">
        <f>AU1</f>
        <v>46252</v>
      </c>
      <c r="AV37" s="96"/>
      <c r="AW37" s="96"/>
      <c r="AX37" s="96"/>
      <c r="AY37" s="96">
        <f>AY1</f>
        <v>46253</v>
      </c>
      <c r="AZ37" s="96"/>
      <c r="BA37" s="96"/>
      <c r="BB37" s="96"/>
      <c r="BC37" s="96">
        <f>BC1</f>
        <v>46254</v>
      </c>
      <c r="BD37" s="96"/>
      <c r="BE37" s="96"/>
      <c r="BF37" s="96"/>
      <c r="BG37" s="96">
        <f>BG1</f>
        <v>46255</v>
      </c>
      <c r="BH37" s="96"/>
      <c r="BI37" s="96"/>
      <c r="BJ37" s="96"/>
      <c r="BK37" s="96">
        <f>BK1</f>
        <v>46260</v>
      </c>
      <c r="BL37" s="96"/>
      <c r="BM37" s="96"/>
      <c r="BN37" s="96"/>
      <c r="BO37" s="96"/>
      <c r="BP37" s="96">
        <f>BP1</f>
        <v>46261</v>
      </c>
      <c r="BQ37" s="96"/>
      <c r="BR37" s="96"/>
      <c r="BS37" s="96"/>
      <c r="BT37" s="96"/>
      <c r="BU37" s="96">
        <f>BU1</f>
        <v>46266</v>
      </c>
      <c r="BV37" s="96"/>
      <c r="BW37" s="96"/>
      <c r="BX37" s="96"/>
      <c r="BY37" s="96"/>
      <c r="BZ37" s="96">
        <f>BZ1</f>
        <v>46267</v>
      </c>
      <c r="CA37" s="96"/>
      <c r="CB37" s="96"/>
      <c r="CC37" s="96"/>
      <c r="CD37" s="96"/>
      <c r="CE37" s="96">
        <f>CE1</f>
        <v>46268</v>
      </c>
      <c r="CF37" s="96"/>
      <c r="CG37" s="96"/>
      <c r="CH37" s="96"/>
      <c r="CI37" s="96"/>
      <c r="CJ37" s="96">
        <f>CJ1</f>
        <v>46269</v>
      </c>
      <c r="CK37" s="96"/>
      <c r="CL37" s="96"/>
      <c r="CM37" s="96"/>
      <c r="CN37" s="96"/>
    </row>
    <row r="38" spans="1:92" x14ac:dyDescent="0.35">
      <c r="C38" s="53" t="s">
        <v>600</v>
      </c>
      <c r="D38" s="38" t="s">
        <v>601</v>
      </c>
      <c r="E38" s="38" t="s">
        <v>602</v>
      </c>
      <c r="F38" s="54" t="s">
        <v>603</v>
      </c>
      <c r="G38" s="53" t="s">
        <v>600</v>
      </c>
      <c r="H38" s="38" t="s">
        <v>601</v>
      </c>
      <c r="I38" s="38" t="s">
        <v>602</v>
      </c>
      <c r="J38" s="54" t="s">
        <v>603</v>
      </c>
      <c r="K38" s="53" t="s">
        <v>600</v>
      </c>
      <c r="L38" s="38" t="s">
        <v>601</v>
      </c>
      <c r="M38" s="38" t="s">
        <v>602</v>
      </c>
      <c r="N38" s="54" t="s">
        <v>603</v>
      </c>
      <c r="O38" s="53" t="s">
        <v>600</v>
      </c>
      <c r="P38" s="38" t="s">
        <v>601</v>
      </c>
      <c r="Q38" s="38" t="s">
        <v>602</v>
      </c>
      <c r="R38" s="54" t="s">
        <v>603</v>
      </c>
      <c r="S38" s="53" t="s">
        <v>600</v>
      </c>
      <c r="T38" s="38" t="s">
        <v>601</v>
      </c>
      <c r="U38" s="38" t="s">
        <v>602</v>
      </c>
      <c r="V38" s="54" t="s">
        <v>603</v>
      </c>
      <c r="W38" s="53" t="s">
        <v>600</v>
      </c>
      <c r="X38" s="38" t="s">
        <v>601</v>
      </c>
      <c r="Y38" s="38" t="s">
        <v>602</v>
      </c>
      <c r="Z38" s="54" t="s">
        <v>603</v>
      </c>
      <c r="AA38" s="53" t="s">
        <v>600</v>
      </c>
      <c r="AB38" s="38" t="s">
        <v>601</v>
      </c>
      <c r="AC38" s="38" t="s">
        <v>602</v>
      </c>
      <c r="AD38" s="54" t="s">
        <v>603</v>
      </c>
      <c r="AE38" s="53" t="s">
        <v>600</v>
      </c>
      <c r="AF38" s="38" t="s">
        <v>601</v>
      </c>
      <c r="AG38" s="38" t="s">
        <v>602</v>
      </c>
      <c r="AH38" s="54" t="s">
        <v>603</v>
      </c>
      <c r="AI38" s="53" t="s">
        <v>600</v>
      </c>
      <c r="AJ38" s="38" t="s">
        <v>601</v>
      </c>
      <c r="AK38" s="38" t="s">
        <v>602</v>
      </c>
      <c r="AL38" s="54" t="s">
        <v>603</v>
      </c>
      <c r="AM38" s="53" t="s">
        <v>600</v>
      </c>
      <c r="AN38" s="38" t="s">
        <v>601</v>
      </c>
      <c r="AO38" s="38" t="s">
        <v>602</v>
      </c>
      <c r="AP38" s="54" t="s">
        <v>603</v>
      </c>
      <c r="AQ38" s="53" t="s">
        <v>600</v>
      </c>
      <c r="AR38" s="38" t="s">
        <v>601</v>
      </c>
      <c r="AS38" s="38" t="s">
        <v>602</v>
      </c>
      <c r="AT38" s="54" t="s">
        <v>603</v>
      </c>
      <c r="AU38" s="53" t="s">
        <v>600</v>
      </c>
      <c r="AV38" s="38" t="s">
        <v>601</v>
      </c>
      <c r="AW38" s="38" t="s">
        <v>602</v>
      </c>
      <c r="AX38" s="54" t="s">
        <v>603</v>
      </c>
      <c r="AY38" s="53" t="s">
        <v>600</v>
      </c>
      <c r="AZ38" s="38" t="s">
        <v>601</v>
      </c>
      <c r="BA38" s="38" t="s">
        <v>602</v>
      </c>
      <c r="BB38" s="54" t="s">
        <v>603</v>
      </c>
      <c r="BC38" s="53" t="s">
        <v>600</v>
      </c>
      <c r="BD38" s="38" t="s">
        <v>601</v>
      </c>
      <c r="BE38" s="38" t="s">
        <v>602</v>
      </c>
      <c r="BF38" s="54" t="s">
        <v>603</v>
      </c>
      <c r="BG38" s="53" t="s">
        <v>600</v>
      </c>
      <c r="BH38" s="38" t="s">
        <v>601</v>
      </c>
      <c r="BI38" s="38" t="s">
        <v>602</v>
      </c>
      <c r="BJ38" s="54" t="s">
        <v>603</v>
      </c>
      <c r="BK38" s="53" t="s">
        <v>600</v>
      </c>
      <c r="BL38" s="38" t="s">
        <v>601</v>
      </c>
      <c r="BM38" s="38" t="s">
        <v>602</v>
      </c>
      <c r="BN38" s="38" t="s">
        <v>614</v>
      </c>
      <c r="BO38" s="54" t="s">
        <v>603</v>
      </c>
      <c r="BP38" s="53" t="s">
        <v>600</v>
      </c>
      <c r="BQ38" s="38" t="s">
        <v>601</v>
      </c>
      <c r="BR38" s="38" t="s">
        <v>602</v>
      </c>
      <c r="BS38" s="38" t="s">
        <v>614</v>
      </c>
      <c r="BT38" s="54" t="s">
        <v>603</v>
      </c>
      <c r="BU38" s="53" t="s">
        <v>600</v>
      </c>
      <c r="BV38" s="38" t="s">
        <v>601</v>
      </c>
      <c r="BW38" s="38" t="s">
        <v>602</v>
      </c>
      <c r="BX38" s="38" t="s">
        <v>614</v>
      </c>
      <c r="BY38" s="54" t="s">
        <v>603</v>
      </c>
      <c r="BZ38" s="53" t="s">
        <v>600</v>
      </c>
      <c r="CA38" s="38" t="s">
        <v>601</v>
      </c>
      <c r="CB38" s="38" t="s">
        <v>602</v>
      </c>
      <c r="CC38" s="38" t="s">
        <v>614</v>
      </c>
      <c r="CD38" s="54" t="s">
        <v>603</v>
      </c>
      <c r="CE38" s="53" t="s">
        <v>600</v>
      </c>
      <c r="CF38" s="38" t="s">
        <v>601</v>
      </c>
      <c r="CG38" s="38" t="s">
        <v>602</v>
      </c>
      <c r="CH38" s="38" t="s">
        <v>614</v>
      </c>
      <c r="CI38" s="54" t="s">
        <v>603</v>
      </c>
      <c r="CJ38" s="53" t="s">
        <v>600</v>
      </c>
      <c r="CK38" s="38" t="s">
        <v>601</v>
      </c>
      <c r="CL38" s="38" t="s">
        <v>602</v>
      </c>
      <c r="CM38" s="38" t="s">
        <v>614</v>
      </c>
      <c r="CN38" s="54" t="s">
        <v>603</v>
      </c>
    </row>
    <row r="39" spans="1:92" x14ac:dyDescent="0.35">
      <c r="B39" s="8" t="s">
        <v>609</v>
      </c>
      <c r="C39" s="8"/>
      <c r="D39" s="8"/>
      <c r="E39" s="8">
        <f>E19</f>
        <v>1</v>
      </c>
      <c r="F39" s="52">
        <f>SUM(C39:E39)</f>
        <v>1</v>
      </c>
      <c r="G39" s="8"/>
      <c r="H39" s="8"/>
      <c r="I39" s="8">
        <f t="shared" ref="I39" si="39">I19</f>
        <v>1</v>
      </c>
      <c r="J39" s="52">
        <f>SUM(G39:I39)</f>
        <v>1</v>
      </c>
      <c r="K39" s="8"/>
      <c r="L39" s="8"/>
      <c r="M39" s="8">
        <f t="shared" ref="M39" si="40">M19</f>
        <v>0</v>
      </c>
      <c r="N39" s="52">
        <f>SUM(K39:M39)</f>
        <v>0</v>
      </c>
      <c r="O39" s="8"/>
      <c r="P39" s="8"/>
      <c r="Q39" s="8">
        <f>Q19</f>
        <v>0</v>
      </c>
      <c r="R39" s="52">
        <f t="shared" ref="R39:R50" si="41">SUM(O39:Q39)</f>
        <v>0</v>
      </c>
      <c r="S39" s="8"/>
      <c r="T39" s="8"/>
      <c r="U39" s="8">
        <f>U19</f>
        <v>0</v>
      </c>
      <c r="V39" s="52">
        <f t="shared" ref="V39:V50" si="42">SUM(S39:U39)</f>
        <v>0</v>
      </c>
      <c r="W39" s="8"/>
      <c r="X39" s="8"/>
      <c r="Y39" s="8">
        <f>Y19</f>
        <v>0</v>
      </c>
      <c r="Z39" s="52">
        <f t="shared" ref="Z39:Z50" si="43">SUM(W39:Y39)</f>
        <v>0</v>
      </c>
      <c r="AA39" s="8"/>
      <c r="AB39" s="8"/>
      <c r="AC39" s="8">
        <f>AC19</f>
        <v>0</v>
      </c>
      <c r="AD39" s="52">
        <f t="shared" ref="AD39:AD50" si="44">SUM(AA39:AC39)</f>
        <v>0</v>
      </c>
      <c r="AE39" s="8"/>
      <c r="AF39" s="8"/>
      <c r="AG39" s="8">
        <f>AG19</f>
        <v>0</v>
      </c>
      <c r="AH39" s="52">
        <f t="shared" ref="AH39:AH50" si="45">SUM(AE39:AG39)</f>
        <v>0</v>
      </c>
      <c r="AI39" s="8"/>
      <c r="AJ39" s="8"/>
      <c r="AK39" s="8">
        <f>AK19</f>
        <v>0</v>
      </c>
      <c r="AL39" s="52">
        <f t="shared" ref="AL39:AL50" si="46">SUM(AI39:AK39)</f>
        <v>0</v>
      </c>
      <c r="AM39" s="8"/>
      <c r="AN39" s="8"/>
      <c r="AO39" s="8">
        <f>AO19</f>
        <v>0</v>
      </c>
      <c r="AP39" s="52">
        <f t="shared" ref="AP39:AP51" si="47">SUM(AM39:AO39)</f>
        <v>0</v>
      </c>
      <c r="AQ39" s="8"/>
      <c r="AR39" s="8"/>
      <c r="AS39" s="8">
        <f>AS19</f>
        <v>0</v>
      </c>
      <c r="AT39" s="52">
        <f t="shared" ref="AT39:AT51" si="48">SUM(AQ39:AS39)</f>
        <v>0</v>
      </c>
      <c r="AU39" s="8"/>
      <c r="AV39" s="8"/>
      <c r="AW39" s="8">
        <f>AW19</f>
        <v>0</v>
      </c>
      <c r="AX39" s="52">
        <f t="shared" ref="AX39:AX51" si="49">SUM(AU39:AW39)</f>
        <v>0</v>
      </c>
      <c r="AY39" s="8"/>
      <c r="AZ39" s="8"/>
      <c r="BA39" s="8">
        <f>BA19</f>
        <v>0</v>
      </c>
      <c r="BB39" s="52">
        <f t="shared" ref="BB39:BB51" si="50">SUM(AY39:BA39)</f>
        <v>0</v>
      </c>
      <c r="BC39" s="8"/>
      <c r="BD39" s="8"/>
      <c r="BE39" s="8">
        <f>BE19</f>
        <v>0</v>
      </c>
      <c r="BF39" s="52">
        <f t="shared" ref="BF39:BF51" si="51">SUM(BC39:BE39)</f>
        <v>0</v>
      </c>
      <c r="BG39" s="8"/>
      <c r="BH39" s="8"/>
      <c r="BI39" s="8">
        <f>BI19</f>
        <v>0</v>
      </c>
      <c r="BJ39" s="52">
        <f t="shared" ref="BJ39:BJ51" si="52">SUM(BG39:BI39)</f>
        <v>0</v>
      </c>
      <c r="BK39" s="8"/>
      <c r="BL39" s="8"/>
      <c r="BM39" s="8">
        <f>BM19</f>
        <v>0</v>
      </c>
      <c r="BN39" s="8">
        <v>0</v>
      </c>
      <c r="BO39" s="52">
        <f t="shared" ref="BO39:BO51" si="53">SUM(BK39:BM39)</f>
        <v>0</v>
      </c>
      <c r="BP39" s="8"/>
      <c r="BQ39" s="8"/>
      <c r="BR39" s="8">
        <f>BR19</f>
        <v>0</v>
      </c>
      <c r="BS39" s="8">
        <v>0</v>
      </c>
      <c r="BT39" s="52">
        <f t="shared" ref="BT39:BT51" si="54">SUM(BP39:BR39)</f>
        <v>0</v>
      </c>
      <c r="BU39" s="8"/>
      <c r="BV39" s="8"/>
      <c r="BW39" s="8">
        <f>BW19</f>
        <v>0</v>
      </c>
      <c r="BX39" s="8">
        <v>0</v>
      </c>
      <c r="BY39" s="52">
        <f t="shared" ref="BY39:BY51" si="55">SUM(BU39:BW39)</f>
        <v>0</v>
      </c>
      <c r="BZ39" s="8"/>
      <c r="CA39" s="8"/>
      <c r="CB39" s="8">
        <f>CB19</f>
        <v>0</v>
      </c>
      <c r="CC39" s="8">
        <v>0</v>
      </c>
      <c r="CD39" s="52">
        <f t="shared" ref="CD39:CD51" si="56">SUM(BZ39:CB39)</f>
        <v>0</v>
      </c>
      <c r="CE39" s="8"/>
      <c r="CF39" s="8"/>
      <c r="CG39" s="8">
        <f>CG19</f>
        <v>0</v>
      </c>
      <c r="CH39" s="8">
        <v>0</v>
      </c>
      <c r="CI39" s="52">
        <f t="shared" ref="CI39:CI51" si="57">SUM(CE39:CG39)</f>
        <v>0</v>
      </c>
      <c r="CJ39" s="8"/>
      <c r="CK39" s="8"/>
      <c r="CL39" s="8">
        <f>CL19</f>
        <v>0</v>
      </c>
      <c r="CM39" s="8">
        <v>0</v>
      </c>
      <c r="CN39" s="52">
        <f t="shared" ref="CN39:CN51" si="58">SUM(CJ39:CL39)</f>
        <v>0</v>
      </c>
    </row>
    <row r="40" spans="1:92" x14ac:dyDescent="0.35">
      <c r="B40" s="8" t="s">
        <v>431</v>
      </c>
      <c r="C40" s="8"/>
      <c r="D40" s="8"/>
      <c r="E40" s="8">
        <f>E20</f>
        <v>2</v>
      </c>
      <c r="F40" s="52">
        <f t="shared" ref="F40:F50" si="59">SUM(C40:E40)</f>
        <v>2</v>
      </c>
      <c r="G40" s="8"/>
      <c r="H40" s="8"/>
      <c r="I40" s="8">
        <f t="shared" ref="I40" si="60">I20</f>
        <v>2</v>
      </c>
      <c r="J40" s="52">
        <f t="shared" ref="J40:J50" si="61">SUM(G40:I40)</f>
        <v>2</v>
      </c>
      <c r="K40" s="8"/>
      <c r="L40" s="8"/>
      <c r="M40" s="8">
        <f t="shared" ref="M40" si="62">M20</f>
        <v>2</v>
      </c>
      <c r="N40" s="52">
        <f t="shared" ref="N40" si="63">SUM(K40:M40)</f>
        <v>2</v>
      </c>
      <c r="O40" s="8"/>
      <c r="P40" s="8"/>
      <c r="Q40" s="8">
        <f>Q20</f>
        <v>2</v>
      </c>
      <c r="R40" s="52">
        <f t="shared" si="41"/>
        <v>2</v>
      </c>
      <c r="S40" s="8"/>
      <c r="T40" s="8"/>
      <c r="U40" s="8">
        <f>U20</f>
        <v>2</v>
      </c>
      <c r="V40" s="52">
        <f t="shared" si="42"/>
        <v>2</v>
      </c>
      <c r="W40" s="8"/>
      <c r="X40" s="8"/>
      <c r="Y40" s="8">
        <f>Y20</f>
        <v>2</v>
      </c>
      <c r="Z40" s="52">
        <f t="shared" si="43"/>
        <v>2</v>
      </c>
      <c r="AA40" s="8"/>
      <c r="AB40" s="8"/>
      <c r="AC40" s="8">
        <f>AC20</f>
        <v>2</v>
      </c>
      <c r="AD40" s="52">
        <f t="shared" si="44"/>
        <v>2</v>
      </c>
      <c r="AE40" s="8"/>
      <c r="AF40" s="8"/>
      <c r="AG40" s="8">
        <f>AG20</f>
        <v>2</v>
      </c>
      <c r="AH40" s="52">
        <f t="shared" si="45"/>
        <v>2</v>
      </c>
      <c r="AI40" s="8"/>
      <c r="AJ40" s="8"/>
      <c r="AK40" s="8">
        <f>AK20</f>
        <v>2</v>
      </c>
      <c r="AL40" s="52">
        <f t="shared" si="46"/>
        <v>2</v>
      </c>
      <c r="AM40" s="8"/>
      <c r="AN40" s="8"/>
      <c r="AO40" s="8">
        <f>AO20</f>
        <v>2</v>
      </c>
      <c r="AP40" s="52">
        <f t="shared" si="47"/>
        <v>2</v>
      </c>
      <c r="AQ40" s="8"/>
      <c r="AR40" s="8"/>
      <c r="AS40" s="8">
        <f>AS20</f>
        <v>0</v>
      </c>
      <c r="AT40" s="52">
        <f t="shared" si="48"/>
        <v>0</v>
      </c>
      <c r="AU40" s="8"/>
      <c r="AV40" s="8"/>
      <c r="AW40" s="8">
        <f>AW20</f>
        <v>0</v>
      </c>
      <c r="AX40" s="52">
        <f t="shared" si="49"/>
        <v>0</v>
      </c>
      <c r="AY40" s="8"/>
      <c r="AZ40" s="8"/>
      <c r="BA40" s="8">
        <f>BA20</f>
        <v>0</v>
      </c>
      <c r="BB40" s="52">
        <f t="shared" si="50"/>
        <v>0</v>
      </c>
      <c r="BC40" s="8"/>
      <c r="BD40" s="8"/>
      <c r="BE40" s="8">
        <f>BE20</f>
        <v>0</v>
      </c>
      <c r="BF40" s="52">
        <f t="shared" si="51"/>
        <v>0</v>
      </c>
      <c r="BG40" s="8"/>
      <c r="BH40" s="8"/>
      <c r="BI40" s="8">
        <f>BI20</f>
        <v>0</v>
      </c>
      <c r="BJ40" s="52">
        <f t="shared" si="52"/>
        <v>0</v>
      </c>
      <c r="BK40" s="8"/>
      <c r="BL40" s="8"/>
      <c r="BM40" s="8">
        <f>BM20</f>
        <v>0</v>
      </c>
      <c r="BN40" s="8">
        <v>0</v>
      </c>
      <c r="BO40" s="52">
        <f t="shared" si="53"/>
        <v>0</v>
      </c>
      <c r="BP40" s="8"/>
      <c r="BQ40" s="8"/>
      <c r="BR40" s="8">
        <f>BR20</f>
        <v>0</v>
      </c>
      <c r="BS40" s="8">
        <v>0</v>
      </c>
      <c r="BT40" s="52">
        <f t="shared" si="54"/>
        <v>0</v>
      </c>
      <c r="BU40" s="8"/>
      <c r="BV40" s="8"/>
      <c r="BW40" s="8">
        <f>BW20</f>
        <v>0</v>
      </c>
      <c r="BX40" s="8">
        <v>0</v>
      </c>
      <c r="BY40" s="52">
        <f t="shared" si="55"/>
        <v>0</v>
      </c>
      <c r="BZ40" s="8"/>
      <c r="CA40" s="8"/>
      <c r="CB40" s="8">
        <f>CB20</f>
        <v>0</v>
      </c>
      <c r="CC40" s="8">
        <v>0</v>
      </c>
      <c r="CD40" s="52">
        <f t="shared" si="56"/>
        <v>0</v>
      </c>
      <c r="CE40" s="8"/>
      <c r="CF40" s="8"/>
      <c r="CG40" s="8">
        <f>CG20</f>
        <v>0</v>
      </c>
      <c r="CH40" s="8">
        <v>0</v>
      </c>
      <c r="CI40" s="52">
        <f t="shared" si="57"/>
        <v>0</v>
      </c>
      <c r="CJ40" s="8"/>
      <c r="CK40" s="8"/>
      <c r="CL40" s="8">
        <f>CL20</f>
        <v>0</v>
      </c>
      <c r="CM40" s="8">
        <v>0</v>
      </c>
      <c r="CN40" s="52">
        <f t="shared" si="58"/>
        <v>0</v>
      </c>
    </row>
    <row r="41" spans="1:92" x14ac:dyDescent="0.35">
      <c r="B41" s="8" t="s">
        <v>112</v>
      </c>
      <c r="C41" s="8">
        <f>C3+C24</f>
        <v>2</v>
      </c>
      <c r="D41" s="8"/>
      <c r="E41" s="8">
        <f>E3+E24</f>
        <v>1</v>
      </c>
      <c r="F41" s="52">
        <f t="shared" si="59"/>
        <v>3</v>
      </c>
      <c r="G41" s="8">
        <f>G3+G24</f>
        <v>2</v>
      </c>
      <c r="H41" s="8"/>
      <c r="I41" s="8">
        <f>I3+I24</f>
        <v>1</v>
      </c>
      <c r="J41" s="52">
        <f>SUM(G41:I41)</f>
        <v>3</v>
      </c>
      <c r="K41" s="8">
        <f>K3+K24</f>
        <v>2</v>
      </c>
      <c r="L41" s="8"/>
      <c r="M41" s="8">
        <f>M3+M24</f>
        <v>1</v>
      </c>
      <c r="N41" s="52">
        <f>SUM(K41:M41)</f>
        <v>3</v>
      </c>
      <c r="O41" s="8">
        <f>O3+O24</f>
        <v>0</v>
      </c>
      <c r="P41" s="8"/>
      <c r="Q41" s="8">
        <f>Q3+Q24</f>
        <v>3</v>
      </c>
      <c r="R41" s="52">
        <f t="shared" si="41"/>
        <v>3</v>
      </c>
      <c r="S41" s="8">
        <f>S3+S24</f>
        <v>0</v>
      </c>
      <c r="T41" s="8"/>
      <c r="U41" s="8">
        <f>U3+U24</f>
        <v>3</v>
      </c>
      <c r="V41" s="52">
        <f t="shared" si="42"/>
        <v>3</v>
      </c>
      <c r="W41" s="8">
        <f>W3+W24</f>
        <v>0</v>
      </c>
      <c r="X41" s="8"/>
      <c r="Y41" s="8">
        <f>Y3+Y24</f>
        <v>3</v>
      </c>
      <c r="Z41" s="52">
        <f t="shared" si="43"/>
        <v>3</v>
      </c>
      <c r="AA41" s="8">
        <f>AA3+AA24</f>
        <v>0</v>
      </c>
      <c r="AB41" s="8"/>
      <c r="AC41" s="8">
        <f>AC3+AC24</f>
        <v>3</v>
      </c>
      <c r="AD41" s="52">
        <f t="shared" si="44"/>
        <v>3</v>
      </c>
      <c r="AE41" s="8">
        <f>AE3+AE24</f>
        <v>0</v>
      </c>
      <c r="AF41" s="8"/>
      <c r="AG41" s="8">
        <f>AG3+AG24</f>
        <v>3</v>
      </c>
      <c r="AH41" s="52">
        <f t="shared" si="45"/>
        <v>3</v>
      </c>
      <c r="AI41" s="8">
        <f>AI3+AI24</f>
        <v>0</v>
      </c>
      <c r="AJ41" s="8"/>
      <c r="AK41" s="8">
        <f>AK3+AK24</f>
        <v>2</v>
      </c>
      <c r="AL41" s="52">
        <f t="shared" si="46"/>
        <v>2</v>
      </c>
      <c r="AM41" s="8">
        <f>AM3+AM24</f>
        <v>0</v>
      </c>
      <c r="AN41" s="8"/>
      <c r="AO41" s="8">
        <f>AO3+AO24</f>
        <v>3</v>
      </c>
      <c r="AP41" s="52">
        <f t="shared" si="47"/>
        <v>3</v>
      </c>
      <c r="AQ41" s="8">
        <f>AQ3+AQ24</f>
        <v>1</v>
      </c>
      <c r="AR41" s="8"/>
      <c r="AS41" s="8">
        <f>AS3+AS24</f>
        <v>2</v>
      </c>
      <c r="AT41" s="52">
        <f t="shared" si="48"/>
        <v>3</v>
      </c>
      <c r="AU41" s="8">
        <f>AU3+AU24</f>
        <v>1</v>
      </c>
      <c r="AV41" s="8"/>
      <c r="AW41" s="8">
        <f>AW3+AW24</f>
        <v>1</v>
      </c>
      <c r="AX41" s="52">
        <f t="shared" si="49"/>
        <v>2</v>
      </c>
      <c r="AY41" s="8">
        <f>AY3+AY24</f>
        <v>2</v>
      </c>
      <c r="AZ41" s="8"/>
      <c r="BA41" s="8">
        <f>BA3+BA24</f>
        <v>0</v>
      </c>
      <c r="BB41" s="52">
        <f t="shared" si="50"/>
        <v>2</v>
      </c>
      <c r="BC41" s="8">
        <f>BC3+BC24</f>
        <v>2</v>
      </c>
      <c r="BD41" s="8"/>
      <c r="BE41" s="8">
        <f>BE3+BE24</f>
        <v>0</v>
      </c>
      <c r="BF41" s="52">
        <f t="shared" si="51"/>
        <v>2</v>
      </c>
      <c r="BG41" s="8">
        <f>BG3+BG24+BG8+BG14</f>
        <v>4</v>
      </c>
      <c r="BH41" s="8"/>
      <c r="BI41" s="8">
        <f>BI3+BI24+BI8+BI14</f>
        <v>1</v>
      </c>
      <c r="BJ41" s="52">
        <f t="shared" si="52"/>
        <v>5</v>
      </c>
      <c r="BK41" s="8">
        <f>BK3+BK24+BK8+BK14</f>
        <v>4</v>
      </c>
      <c r="BL41" s="8"/>
      <c r="BM41" s="8">
        <f>BM3+BM24+BM8+BM14</f>
        <v>1</v>
      </c>
      <c r="BN41" s="8">
        <v>0</v>
      </c>
      <c r="BO41" s="52">
        <f t="shared" si="53"/>
        <v>5</v>
      </c>
      <c r="BP41" s="8">
        <f>BP3+BP24+BP8+BP14</f>
        <v>0</v>
      </c>
      <c r="BQ41" s="8"/>
      <c r="BR41" s="8">
        <f>BR3+BR24+BR8+BR14</f>
        <v>0</v>
      </c>
      <c r="BS41" s="8">
        <v>0</v>
      </c>
      <c r="BT41" s="52">
        <f t="shared" si="54"/>
        <v>0</v>
      </c>
      <c r="BU41" s="8">
        <f>BU3+BU24+BU8+BU14</f>
        <v>2</v>
      </c>
      <c r="BV41" s="8"/>
      <c r="BW41" s="8">
        <f>BW3+BW24+BW8+BW14</f>
        <v>2</v>
      </c>
      <c r="BX41" s="8">
        <v>0</v>
      </c>
      <c r="BY41" s="52">
        <f t="shared" si="55"/>
        <v>4</v>
      </c>
      <c r="BZ41" s="8">
        <f>BZ3+BZ24+BZ8+BZ14</f>
        <v>2</v>
      </c>
      <c r="CA41" s="8"/>
      <c r="CB41" s="8">
        <f>CB3+CB24+CB8+CB14</f>
        <v>2</v>
      </c>
      <c r="CC41" s="8">
        <v>0</v>
      </c>
      <c r="CD41" s="52">
        <f t="shared" si="56"/>
        <v>4</v>
      </c>
      <c r="CE41" s="8">
        <f>CE3+CE24+CE8+CE14</f>
        <v>4</v>
      </c>
      <c r="CF41" s="8">
        <f>CF7</f>
        <v>1</v>
      </c>
      <c r="CG41" s="8">
        <f>CG3+CG24+CG8+CG14</f>
        <v>0</v>
      </c>
      <c r="CH41" s="8">
        <f>CH3</f>
        <v>2</v>
      </c>
      <c r="CI41" s="52">
        <f t="shared" si="57"/>
        <v>5</v>
      </c>
      <c r="CJ41" s="8">
        <f>CJ3+CJ24+CJ8+CJ14</f>
        <v>0</v>
      </c>
      <c r="CK41" s="8">
        <f>CK7</f>
        <v>0</v>
      </c>
      <c r="CL41" s="8">
        <f>CL3+CL24+CL8+CL14</f>
        <v>0</v>
      </c>
      <c r="CM41" s="8">
        <f>CM3</f>
        <v>0</v>
      </c>
      <c r="CN41" s="52">
        <f t="shared" si="58"/>
        <v>0</v>
      </c>
    </row>
    <row r="42" spans="1:92" x14ac:dyDescent="0.35">
      <c r="B42" s="8" t="s">
        <v>411</v>
      </c>
      <c r="C42" s="8">
        <f>C4+C10+C15+C21</f>
        <v>7</v>
      </c>
      <c r="D42" s="8"/>
      <c r="E42" s="8">
        <f>E4+E10+E15+E21</f>
        <v>2</v>
      </c>
      <c r="F42" s="52">
        <f t="shared" si="59"/>
        <v>9</v>
      </c>
      <c r="G42" s="8">
        <f>G4+G10+G15+G21</f>
        <v>7</v>
      </c>
      <c r="H42" s="8"/>
      <c r="I42" s="8">
        <f>I4+I10+I15+I21</f>
        <v>2</v>
      </c>
      <c r="J42" s="52">
        <f t="shared" si="61"/>
        <v>9</v>
      </c>
      <c r="K42" s="8">
        <f>K4+K10+K15+K21</f>
        <v>7</v>
      </c>
      <c r="L42" s="8"/>
      <c r="M42" s="8">
        <f>M4+M10+M15+M21</f>
        <v>2</v>
      </c>
      <c r="N42" s="52">
        <f t="shared" ref="N42:N50" si="64">SUM(K42:M42)</f>
        <v>9</v>
      </c>
      <c r="O42" s="8">
        <f>O4+O10+O15+O21</f>
        <v>7</v>
      </c>
      <c r="P42" s="8"/>
      <c r="Q42" s="8">
        <f>Q4+Q10+Q15+Q21</f>
        <v>2</v>
      </c>
      <c r="R42" s="52">
        <f t="shared" si="41"/>
        <v>9</v>
      </c>
      <c r="S42" s="8">
        <f>S4+S10+S15+S21</f>
        <v>7</v>
      </c>
      <c r="T42" s="8"/>
      <c r="U42" s="8">
        <f>U4+U10+U15+U21</f>
        <v>2</v>
      </c>
      <c r="V42" s="52">
        <f t="shared" si="42"/>
        <v>9</v>
      </c>
      <c r="W42" s="8">
        <f>W4+W10+W15+W21</f>
        <v>7</v>
      </c>
      <c r="X42" s="8"/>
      <c r="Y42" s="8">
        <f>Y4+Y10+Y15+Y21</f>
        <v>2</v>
      </c>
      <c r="Z42" s="52">
        <f t="shared" si="43"/>
        <v>9</v>
      </c>
      <c r="AA42" s="8">
        <f>AA4+AA10+AA15+AA21</f>
        <v>7</v>
      </c>
      <c r="AB42" s="8"/>
      <c r="AC42" s="8">
        <f>AC4+AC10+AC15+AC21</f>
        <v>2</v>
      </c>
      <c r="AD42" s="52">
        <f t="shared" si="44"/>
        <v>9</v>
      </c>
      <c r="AE42" s="8">
        <f>AE4+AE10+AE15+AE21</f>
        <v>7</v>
      </c>
      <c r="AF42" s="8"/>
      <c r="AG42" s="8">
        <f>AG4+AG10+AG15+AG21</f>
        <v>2</v>
      </c>
      <c r="AH42" s="52">
        <f t="shared" si="45"/>
        <v>9</v>
      </c>
      <c r="AI42" s="8">
        <f>AI4+AI10+AI15+AI21</f>
        <v>6</v>
      </c>
      <c r="AJ42" s="8"/>
      <c r="AK42" s="8">
        <f>AK4+AK10+AK15+AK21</f>
        <v>2</v>
      </c>
      <c r="AL42" s="52">
        <f t="shared" si="46"/>
        <v>8</v>
      </c>
      <c r="AM42" s="8">
        <f>AM4+AM10+AM15+AM21</f>
        <v>10</v>
      </c>
      <c r="AN42" s="8"/>
      <c r="AO42" s="8">
        <f>AO4+AO10+AO15+AO21</f>
        <v>2</v>
      </c>
      <c r="AP42" s="52">
        <f t="shared" si="47"/>
        <v>12</v>
      </c>
      <c r="AQ42" s="8">
        <f>AQ4+AQ10+AQ15+AQ21</f>
        <v>9</v>
      </c>
      <c r="AR42" s="8"/>
      <c r="AS42" s="8">
        <f>AS4+AS10+AS15+AS21</f>
        <v>4</v>
      </c>
      <c r="AT42" s="52">
        <f t="shared" si="48"/>
        <v>13</v>
      </c>
      <c r="AU42" s="8">
        <f>AU4+AU10+AU15+AU21</f>
        <v>8</v>
      </c>
      <c r="AV42" s="8"/>
      <c r="AW42" s="8">
        <f>AW4+AW10+AW15+AW21</f>
        <v>4</v>
      </c>
      <c r="AX42" s="52">
        <f t="shared" si="49"/>
        <v>12</v>
      </c>
      <c r="AY42" s="8">
        <f>AY4+AY10+AY15+AY21</f>
        <v>8</v>
      </c>
      <c r="AZ42" s="8"/>
      <c r="BA42" s="8">
        <f>BA4+BA10+BA15+BA21</f>
        <v>4</v>
      </c>
      <c r="BB42" s="52">
        <f t="shared" si="50"/>
        <v>12</v>
      </c>
      <c r="BC42" s="8">
        <f>BC4+BC10+BC15+BC21</f>
        <v>8</v>
      </c>
      <c r="BD42" s="8"/>
      <c r="BE42" s="8">
        <f>BE4+BE10+BE15+BE21</f>
        <v>4</v>
      </c>
      <c r="BF42" s="52">
        <f t="shared" si="51"/>
        <v>12</v>
      </c>
      <c r="BG42" s="8">
        <f>BG4+BG10+BG15+BG21</f>
        <v>7</v>
      </c>
      <c r="BH42" s="8"/>
      <c r="BI42" s="8">
        <f>BI4+BI10+BI15+BI21</f>
        <v>2</v>
      </c>
      <c r="BJ42" s="52">
        <f t="shared" si="52"/>
        <v>9</v>
      </c>
      <c r="BK42" s="8">
        <f>BK4+BK10+BK15+BK21</f>
        <v>7</v>
      </c>
      <c r="BL42" s="8"/>
      <c r="BM42" s="8">
        <f>BM4+BM10+BM15+BM21</f>
        <v>2</v>
      </c>
      <c r="BN42" s="8">
        <v>0</v>
      </c>
      <c r="BO42" s="52">
        <f t="shared" si="53"/>
        <v>9</v>
      </c>
      <c r="BP42" s="8">
        <f>BP4+BP10+BP15+BP21</f>
        <v>0</v>
      </c>
      <c r="BQ42" s="8"/>
      <c r="BR42" s="8">
        <f>BR4+BR10+BR15+BR21</f>
        <v>0</v>
      </c>
      <c r="BS42" s="8">
        <v>0</v>
      </c>
      <c r="BT42" s="52">
        <f t="shared" si="54"/>
        <v>0</v>
      </c>
      <c r="BU42" s="8">
        <f>BU4+BU10+BU15+BU21</f>
        <v>8</v>
      </c>
      <c r="BV42" s="8"/>
      <c r="BW42" s="8">
        <f>BW4+BW10+BW15+BW21</f>
        <v>3</v>
      </c>
      <c r="BX42" s="8">
        <v>0</v>
      </c>
      <c r="BY42" s="52">
        <f t="shared" si="55"/>
        <v>11</v>
      </c>
      <c r="BZ42" s="8">
        <f>BZ4+BZ10+BZ15+BZ21</f>
        <v>9</v>
      </c>
      <c r="CA42" s="8"/>
      <c r="CB42" s="8">
        <f>CB4+CB10+CB15+CB21</f>
        <v>3</v>
      </c>
      <c r="CC42" s="8">
        <v>0</v>
      </c>
      <c r="CD42" s="52">
        <f t="shared" si="56"/>
        <v>12</v>
      </c>
      <c r="CE42" s="8">
        <f>CE4+CE10+CE15+CE21</f>
        <v>8</v>
      </c>
      <c r="CF42" s="8"/>
      <c r="CG42" s="8">
        <f>CG4+CG10+CG15+CG21</f>
        <v>4</v>
      </c>
      <c r="CH42" s="8">
        <v>0</v>
      </c>
      <c r="CI42" s="52">
        <f t="shared" si="57"/>
        <v>12</v>
      </c>
      <c r="CJ42" s="8">
        <f>CJ4+CJ10+CJ15+CJ21</f>
        <v>0</v>
      </c>
      <c r="CK42" s="8"/>
      <c r="CL42" s="8">
        <f>CL4+CL10+CL15+CL21</f>
        <v>0</v>
      </c>
      <c r="CM42" s="8">
        <v>0</v>
      </c>
      <c r="CN42" s="52">
        <f t="shared" si="58"/>
        <v>0</v>
      </c>
    </row>
    <row r="43" spans="1:92" x14ac:dyDescent="0.35">
      <c r="B43" s="8" t="s">
        <v>611</v>
      </c>
      <c r="C43" s="8"/>
      <c r="D43" s="8"/>
      <c r="E43" s="8"/>
      <c r="F43" s="52"/>
      <c r="G43" s="8"/>
      <c r="H43" s="8"/>
      <c r="I43" s="8"/>
      <c r="J43" s="52"/>
      <c r="K43" s="8"/>
      <c r="L43" s="8"/>
      <c r="M43" s="8"/>
      <c r="N43" s="52"/>
      <c r="O43" s="8"/>
      <c r="P43" s="8"/>
      <c r="Q43" s="8"/>
      <c r="R43" s="52"/>
      <c r="S43" s="8"/>
      <c r="T43" s="8"/>
      <c r="U43" s="8"/>
      <c r="V43" s="52"/>
      <c r="W43" s="8"/>
      <c r="X43" s="8"/>
      <c r="Y43" s="8"/>
      <c r="Z43" s="52"/>
      <c r="AA43" s="8"/>
      <c r="AB43" s="8"/>
      <c r="AC43" s="8"/>
      <c r="AD43" s="52"/>
      <c r="AE43" s="8"/>
      <c r="AF43" s="8"/>
      <c r="AG43" s="8"/>
      <c r="AH43" s="52">
        <f t="shared" si="45"/>
        <v>0</v>
      </c>
      <c r="AI43" s="8"/>
      <c r="AJ43" s="8"/>
      <c r="AK43" s="8"/>
      <c r="AL43" s="52">
        <f t="shared" si="46"/>
        <v>0</v>
      </c>
      <c r="AM43" s="8"/>
      <c r="AN43" s="8"/>
      <c r="AO43" s="8"/>
      <c r="AP43" s="52">
        <f t="shared" si="47"/>
        <v>0</v>
      </c>
      <c r="AQ43" s="8"/>
      <c r="AR43" s="8"/>
      <c r="AS43" s="8"/>
      <c r="AT43" s="52">
        <f t="shared" si="48"/>
        <v>0</v>
      </c>
      <c r="AU43" s="8"/>
      <c r="AV43" s="8"/>
      <c r="AW43" s="8"/>
      <c r="AX43" s="52">
        <f t="shared" si="49"/>
        <v>0</v>
      </c>
      <c r="AY43" s="8"/>
      <c r="AZ43" s="8">
        <f>AZ29</f>
        <v>5</v>
      </c>
      <c r="BA43" s="8"/>
      <c r="BB43" s="52">
        <f t="shared" si="50"/>
        <v>5</v>
      </c>
      <c r="BC43" s="8"/>
      <c r="BD43" s="8">
        <f>BD29</f>
        <v>4</v>
      </c>
      <c r="BE43" s="8"/>
      <c r="BF43" s="52">
        <f t="shared" si="51"/>
        <v>4</v>
      </c>
      <c r="BG43" s="8"/>
      <c r="BH43" s="8">
        <f>BH29</f>
        <v>3</v>
      </c>
      <c r="BI43" s="8"/>
      <c r="BJ43" s="52">
        <f t="shared" si="52"/>
        <v>3</v>
      </c>
      <c r="BK43" s="8"/>
      <c r="BL43" s="8">
        <f>BL29</f>
        <v>3</v>
      </c>
      <c r="BM43" s="8"/>
      <c r="BN43" s="8">
        <v>0</v>
      </c>
      <c r="BO43" s="52">
        <f t="shared" si="53"/>
        <v>3</v>
      </c>
      <c r="BP43" s="8"/>
      <c r="BQ43" s="8">
        <f>BQ29</f>
        <v>0</v>
      </c>
      <c r="BR43" s="8"/>
      <c r="BS43" s="8">
        <v>0</v>
      </c>
      <c r="BT43" s="52">
        <f t="shared" si="54"/>
        <v>0</v>
      </c>
      <c r="BU43" s="8"/>
      <c r="BV43" s="8">
        <f>BV29</f>
        <v>3</v>
      </c>
      <c r="BW43" s="8"/>
      <c r="BX43" s="8">
        <v>0</v>
      </c>
      <c r="BY43" s="52">
        <f t="shared" si="55"/>
        <v>3</v>
      </c>
      <c r="BZ43" s="8"/>
      <c r="CA43" s="8">
        <f>CA29</f>
        <v>0</v>
      </c>
      <c r="CB43" s="8"/>
      <c r="CC43" s="8">
        <v>0</v>
      </c>
      <c r="CD43" s="52">
        <f t="shared" si="56"/>
        <v>0</v>
      </c>
      <c r="CE43" s="8"/>
      <c r="CF43" s="8">
        <f>CF29</f>
        <v>0</v>
      </c>
      <c r="CG43" s="8"/>
      <c r="CH43" s="8">
        <v>0</v>
      </c>
      <c r="CI43" s="52">
        <f t="shared" si="57"/>
        <v>0</v>
      </c>
      <c r="CJ43" s="8"/>
      <c r="CK43" s="8">
        <f>CK29</f>
        <v>0</v>
      </c>
      <c r="CL43" s="8"/>
      <c r="CM43" s="8">
        <v>0</v>
      </c>
      <c r="CN43" s="52">
        <f t="shared" si="58"/>
        <v>0</v>
      </c>
    </row>
    <row r="44" spans="1:92" x14ac:dyDescent="0.35">
      <c r="B44" s="79" t="s">
        <v>607</v>
      </c>
      <c r="C44" s="79">
        <f>C6+C11+C16</f>
        <v>37</v>
      </c>
      <c r="D44" s="79"/>
      <c r="E44" s="79"/>
      <c r="F44" s="80">
        <f t="shared" si="59"/>
        <v>37</v>
      </c>
      <c r="G44" s="79">
        <f>G6+G11+G16</f>
        <v>33</v>
      </c>
      <c r="H44" s="79"/>
      <c r="I44" s="79"/>
      <c r="J44" s="80">
        <f t="shared" si="61"/>
        <v>33</v>
      </c>
      <c r="K44" s="79">
        <f>K6+K11+K16</f>
        <v>29</v>
      </c>
      <c r="L44" s="79"/>
      <c r="M44" s="79"/>
      <c r="N44" s="80">
        <f t="shared" si="64"/>
        <v>29</v>
      </c>
      <c r="O44" s="79">
        <f>O6+O11+O16</f>
        <v>28</v>
      </c>
      <c r="P44" s="79"/>
      <c r="Q44" s="79"/>
      <c r="R44" s="80">
        <f t="shared" si="41"/>
        <v>28</v>
      </c>
      <c r="S44" s="79">
        <f>S6+S11+S16</f>
        <v>28</v>
      </c>
      <c r="T44" s="79"/>
      <c r="U44" s="79"/>
      <c r="V44" s="80">
        <f t="shared" si="42"/>
        <v>28</v>
      </c>
      <c r="W44" s="79">
        <f>W6+W11+W16</f>
        <v>32</v>
      </c>
      <c r="X44" s="79"/>
      <c r="Y44" s="79"/>
      <c r="Z44" s="80">
        <f t="shared" si="43"/>
        <v>32</v>
      </c>
      <c r="AA44" s="79">
        <f>AA6+AA11+AA16</f>
        <v>42</v>
      </c>
      <c r="AB44" s="79"/>
      <c r="AC44" s="79"/>
      <c r="AD44" s="80">
        <f t="shared" si="44"/>
        <v>42</v>
      </c>
      <c r="AE44" s="79">
        <f>AE6+AE11+AE16</f>
        <v>41</v>
      </c>
      <c r="AF44" s="79"/>
      <c r="AG44" s="79"/>
      <c r="AH44" s="80">
        <f t="shared" si="45"/>
        <v>41</v>
      </c>
      <c r="AI44" s="79">
        <f>AI6+AI11+AI16</f>
        <v>30</v>
      </c>
      <c r="AJ44" s="79"/>
      <c r="AK44" s="79"/>
      <c r="AL44" s="80">
        <f t="shared" si="46"/>
        <v>30</v>
      </c>
      <c r="AM44" s="79">
        <f>AM6+AM11+AM16</f>
        <v>29</v>
      </c>
      <c r="AN44" s="79"/>
      <c r="AO44" s="79"/>
      <c r="AP44" s="80">
        <f t="shared" si="47"/>
        <v>29</v>
      </c>
      <c r="AQ44" s="79">
        <f>AQ6+AQ11+AQ16</f>
        <v>18</v>
      </c>
      <c r="AR44" s="79"/>
      <c r="AS44" s="79"/>
      <c r="AT44" s="80">
        <f t="shared" si="48"/>
        <v>18</v>
      </c>
      <c r="AU44" s="79">
        <f>AU6+AU11+AU16</f>
        <v>18</v>
      </c>
      <c r="AV44" s="79"/>
      <c r="AW44" s="79"/>
      <c r="AX44" s="80">
        <f t="shared" si="49"/>
        <v>18</v>
      </c>
      <c r="AY44" s="79">
        <f>AY6+AY11+AY16</f>
        <v>17</v>
      </c>
      <c r="AZ44" s="79"/>
      <c r="BA44" s="79"/>
      <c r="BB44" s="80">
        <f t="shared" si="50"/>
        <v>17</v>
      </c>
      <c r="BC44" s="79">
        <f>BC6+BC11+BC16</f>
        <v>14</v>
      </c>
      <c r="BD44" s="79"/>
      <c r="BE44" s="79"/>
      <c r="BF44" s="80">
        <f t="shared" si="51"/>
        <v>14</v>
      </c>
      <c r="BG44" s="79">
        <f>BG6+BG11+BG16</f>
        <v>11</v>
      </c>
      <c r="BH44" s="79"/>
      <c r="BI44" s="79"/>
      <c r="BJ44" s="80">
        <f t="shared" si="52"/>
        <v>11</v>
      </c>
      <c r="BK44" s="79">
        <f>BK6+BK11+BK16</f>
        <v>10</v>
      </c>
      <c r="BL44" s="79"/>
      <c r="BM44" s="79"/>
      <c r="BN44" s="79">
        <v>0</v>
      </c>
      <c r="BO44" s="80">
        <f t="shared" si="53"/>
        <v>10</v>
      </c>
      <c r="BP44" s="79">
        <f>BP6+BP11+BP16</f>
        <v>0</v>
      </c>
      <c r="BQ44" s="79"/>
      <c r="BR44" s="79"/>
      <c r="BS44" s="79">
        <v>0</v>
      </c>
      <c r="BT44" s="80">
        <f t="shared" si="54"/>
        <v>0</v>
      </c>
      <c r="BU44" s="79">
        <f>BU6+BU11+BU16</f>
        <v>4</v>
      </c>
      <c r="BV44" s="79"/>
      <c r="BW44" s="79"/>
      <c r="BX44" s="79">
        <v>0</v>
      </c>
      <c r="BY44" s="80">
        <f t="shared" si="55"/>
        <v>4</v>
      </c>
      <c r="BZ44" s="79">
        <f>BZ6+BZ11+BZ16</f>
        <v>4</v>
      </c>
      <c r="CA44" s="79"/>
      <c r="CB44" s="79"/>
      <c r="CC44" s="79">
        <v>0</v>
      </c>
      <c r="CD44" s="80">
        <f t="shared" si="56"/>
        <v>4</v>
      </c>
      <c r="CE44" s="79">
        <f>CE6+CE11+CE16</f>
        <v>3</v>
      </c>
      <c r="CF44" s="79"/>
      <c r="CG44" s="79"/>
      <c r="CH44" s="79">
        <v>0</v>
      </c>
      <c r="CI44" s="80">
        <f t="shared" si="57"/>
        <v>3</v>
      </c>
      <c r="CJ44" s="79">
        <f>CJ6+CJ11+CJ16</f>
        <v>0</v>
      </c>
      <c r="CK44" s="79"/>
      <c r="CL44" s="79"/>
      <c r="CM44" s="79">
        <v>0</v>
      </c>
      <c r="CN44" s="80">
        <f t="shared" si="58"/>
        <v>0</v>
      </c>
    </row>
    <row r="45" spans="1:92" x14ac:dyDescent="0.35">
      <c r="B45" s="79" t="s">
        <v>606</v>
      </c>
      <c r="C45" s="79"/>
      <c r="D45" s="79"/>
      <c r="E45" s="79"/>
      <c r="F45" s="80"/>
      <c r="G45" s="79"/>
      <c r="H45" s="79"/>
      <c r="I45" s="79"/>
      <c r="J45" s="80"/>
      <c r="K45" s="79"/>
      <c r="L45" s="79"/>
      <c r="M45" s="79"/>
      <c r="N45" s="80"/>
      <c r="O45" s="79"/>
      <c r="P45" s="79">
        <f>P5</f>
        <v>0</v>
      </c>
      <c r="Q45" s="79"/>
      <c r="R45" s="80">
        <f t="shared" si="41"/>
        <v>0</v>
      </c>
      <c r="S45" s="79"/>
      <c r="T45" s="79">
        <f>T5</f>
        <v>1</v>
      </c>
      <c r="U45" s="79"/>
      <c r="V45" s="80">
        <f t="shared" si="42"/>
        <v>1</v>
      </c>
      <c r="W45" s="79"/>
      <c r="X45" s="79">
        <f>X5</f>
        <v>0</v>
      </c>
      <c r="Y45" s="79"/>
      <c r="Z45" s="80">
        <f t="shared" si="43"/>
        <v>0</v>
      </c>
      <c r="AA45" s="79"/>
      <c r="AB45" s="79">
        <f>AB5</f>
        <v>0</v>
      </c>
      <c r="AC45" s="79"/>
      <c r="AD45" s="80">
        <f t="shared" si="44"/>
        <v>0</v>
      </c>
      <c r="AE45" s="79"/>
      <c r="AF45" s="79">
        <f>AF5</f>
        <v>0</v>
      </c>
      <c r="AG45" s="79"/>
      <c r="AH45" s="80">
        <f t="shared" si="45"/>
        <v>0</v>
      </c>
      <c r="AI45" s="79"/>
      <c r="AJ45" s="79">
        <f>AJ5</f>
        <v>0</v>
      </c>
      <c r="AK45" s="79"/>
      <c r="AL45" s="80">
        <f t="shared" si="46"/>
        <v>0</v>
      </c>
      <c r="AM45" s="79"/>
      <c r="AN45" s="79">
        <f>AN5+AN28</f>
        <v>0</v>
      </c>
      <c r="AO45" s="79"/>
      <c r="AP45" s="80">
        <f t="shared" si="47"/>
        <v>0</v>
      </c>
      <c r="AQ45" s="79"/>
      <c r="AR45" s="79">
        <f>AR5+AR28</f>
        <v>0</v>
      </c>
      <c r="AS45" s="79"/>
      <c r="AT45" s="80">
        <f t="shared" si="48"/>
        <v>0</v>
      </c>
      <c r="AU45" s="79"/>
      <c r="AV45" s="79">
        <f>AV5+AV28</f>
        <v>0</v>
      </c>
      <c r="AW45" s="79"/>
      <c r="AX45" s="80">
        <f t="shared" si="49"/>
        <v>0</v>
      </c>
      <c r="AY45" s="79"/>
      <c r="AZ45" s="79">
        <f>AZ5+AZ28</f>
        <v>2</v>
      </c>
      <c r="BA45" s="79"/>
      <c r="BB45" s="80">
        <f t="shared" si="50"/>
        <v>2</v>
      </c>
      <c r="BC45" s="79"/>
      <c r="BD45" s="79">
        <f>BD5+BD28</f>
        <v>2</v>
      </c>
      <c r="BE45" s="79"/>
      <c r="BF45" s="80">
        <f t="shared" si="51"/>
        <v>2</v>
      </c>
      <c r="BG45" s="79"/>
      <c r="BH45" s="79">
        <f>BH5+BH28</f>
        <v>0</v>
      </c>
      <c r="BI45" s="79"/>
      <c r="BJ45" s="80">
        <f t="shared" si="52"/>
        <v>0</v>
      </c>
      <c r="BK45" s="79"/>
      <c r="BL45" s="79">
        <f>BL5+BL28</f>
        <v>0</v>
      </c>
      <c r="BM45" s="79"/>
      <c r="BN45" s="79">
        <v>0</v>
      </c>
      <c r="BO45" s="80">
        <f t="shared" si="53"/>
        <v>0</v>
      </c>
      <c r="BP45" s="79"/>
      <c r="BQ45" s="79">
        <f>BQ5+BQ28</f>
        <v>0</v>
      </c>
      <c r="BR45" s="79"/>
      <c r="BS45" s="79">
        <v>0</v>
      </c>
      <c r="BT45" s="80">
        <f t="shared" si="54"/>
        <v>0</v>
      </c>
      <c r="BU45" s="79"/>
      <c r="BV45" s="79">
        <f>BV5+BV28</f>
        <v>0</v>
      </c>
      <c r="BW45" s="79"/>
      <c r="BX45" s="79">
        <v>0</v>
      </c>
      <c r="BY45" s="80">
        <f t="shared" si="55"/>
        <v>0</v>
      </c>
      <c r="BZ45" s="79"/>
      <c r="CA45" s="79">
        <f>CA5+CA28</f>
        <v>0</v>
      </c>
      <c r="CB45" s="79"/>
      <c r="CC45" s="79">
        <v>0</v>
      </c>
      <c r="CD45" s="80">
        <f t="shared" si="56"/>
        <v>0</v>
      </c>
      <c r="CE45" s="79"/>
      <c r="CF45" s="79">
        <f>CF5+CF28</f>
        <v>0</v>
      </c>
      <c r="CG45" s="79"/>
      <c r="CH45" s="79">
        <v>0</v>
      </c>
      <c r="CI45" s="80">
        <f t="shared" si="57"/>
        <v>0</v>
      </c>
      <c r="CJ45" s="79"/>
      <c r="CK45" s="79">
        <f>CK5+CK28</f>
        <v>0</v>
      </c>
      <c r="CL45" s="79"/>
      <c r="CM45" s="79">
        <v>0</v>
      </c>
      <c r="CN45" s="80">
        <f t="shared" si="58"/>
        <v>0</v>
      </c>
    </row>
    <row r="46" spans="1:92" x14ac:dyDescent="0.35">
      <c r="B46" s="8" t="s">
        <v>170</v>
      </c>
      <c r="C46" s="8">
        <f>C25</f>
        <v>2</v>
      </c>
      <c r="D46" s="8"/>
      <c r="E46" s="8"/>
      <c r="F46" s="52">
        <f t="shared" si="59"/>
        <v>2</v>
      </c>
      <c r="G46" s="8">
        <f>G25</f>
        <v>2</v>
      </c>
      <c r="H46" s="8"/>
      <c r="I46" s="8"/>
      <c r="J46" s="52">
        <f t="shared" si="61"/>
        <v>2</v>
      </c>
      <c r="K46" s="8">
        <f>K25</f>
        <v>2</v>
      </c>
      <c r="L46" s="8"/>
      <c r="M46" s="8"/>
      <c r="N46" s="52">
        <f t="shared" si="64"/>
        <v>2</v>
      </c>
      <c r="O46" s="8">
        <f>O25</f>
        <v>2</v>
      </c>
      <c r="P46" s="8"/>
      <c r="Q46" s="8"/>
      <c r="R46" s="52">
        <f t="shared" si="41"/>
        <v>2</v>
      </c>
      <c r="S46" s="8">
        <f>S25</f>
        <v>2</v>
      </c>
      <c r="T46" s="8"/>
      <c r="U46" s="8"/>
      <c r="V46" s="52">
        <f t="shared" si="42"/>
        <v>2</v>
      </c>
      <c r="W46" s="8">
        <f>W25</f>
        <v>2</v>
      </c>
      <c r="X46" s="8"/>
      <c r="Y46" s="8"/>
      <c r="Z46" s="52">
        <f t="shared" si="43"/>
        <v>2</v>
      </c>
      <c r="AA46" s="8">
        <f>AA25</f>
        <v>2</v>
      </c>
      <c r="AB46" s="8"/>
      <c r="AC46" s="8"/>
      <c r="AD46" s="52">
        <f t="shared" si="44"/>
        <v>2</v>
      </c>
      <c r="AE46" s="8">
        <f>AE25</f>
        <v>2</v>
      </c>
      <c r="AF46" s="8"/>
      <c r="AG46" s="8"/>
      <c r="AH46" s="52">
        <f t="shared" si="45"/>
        <v>2</v>
      </c>
      <c r="AI46" s="8">
        <f>AI25</f>
        <v>2</v>
      </c>
      <c r="AJ46" s="8"/>
      <c r="AK46" s="8"/>
      <c r="AL46" s="52">
        <f t="shared" si="46"/>
        <v>2</v>
      </c>
      <c r="AM46" s="8"/>
      <c r="AN46" s="8"/>
      <c r="AO46" s="8">
        <f>AO25</f>
        <v>1</v>
      </c>
      <c r="AP46" s="52">
        <f t="shared" si="47"/>
        <v>1</v>
      </c>
      <c r="AQ46" s="8">
        <f>AQ25</f>
        <v>1</v>
      </c>
      <c r="AR46" s="8"/>
      <c r="AS46" s="8">
        <f>AS25</f>
        <v>0</v>
      </c>
      <c r="AT46" s="52">
        <f t="shared" si="48"/>
        <v>1</v>
      </c>
      <c r="AU46" s="8">
        <f>AU25</f>
        <v>0</v>
      </c>
      <c r="AV46" s="8"/>
      <c r="AW46" s="8">
        <f>AW25</f>
        <v>0</v>
      </c>
      <c r="AX46" s="52">
        <f t="shared" si="49"/>
        <v>0</v>
      </c>
      <c r="AY46" s="8">
        <f>AY25</f>
        <v>0</v>
      </c>
      <c r="AZ46" s="8"/>
      <c r="BA46" s="8">
        <f>BA25</f>
        <v>0</v>
      </c>
      <c r="BB46" s="52">
        <f t="shared" si="50"/>
        <v>0</v>
      </c>
      <c r="BC46" s="8">
        <f>BC25</f>
        <v>0</v>
      </c>
      <c r="BD46" s="8"/>
      <c r="BE46" s="8">
        <f>BE25</f>
        <v>0</v>
      </c>
      <c r="BF46" s="52">
        <f t="shared" si="51"/>
        <v>0</v>
      </c>
      <c r="BG46" s="8">
        <f>BG25</f>
        <v>0</v>
      </c>
      <c r="BH46" s="8"/>
      <c r="BI46" s="8">
        <f>BI25</f>
        <v>0</v>
      </c>
      <c r="BJ46" s="52">
        <f t="shared" si="52"/>
        <v>0</v>
      </c>
      <c r="BK46" s="8">
        <f>BK25</f>
        <v>0</v>
      </c>
      <c r="BL46" s="8"/>
      <c r="BM46" s="8">
        <f>BM25</f>
        <v>0</v>
      </c>
      <c r="BN46" s="8">
        <v>0</v>
      </c>
      <c r="BO46" s="52">
        <f t="shared" si="53"/>
        <v>0</v>
      </c>
      <c r="BP46" s="8">
        <f>BP25</f>
        <v>0</v>
      </c>
      <c r="BQ46" s="8"/>
      <c r="BR46" s="8">
        <f>BR25</f>
        <v>0</v>
      </c>
      <c r="BS46" s="8">
        <v>0</v>
      </c>
      <c r="BT46" s="52">
        <f t="shared" si="54"/>
        <v>0</v>
      </c>
      <c r="BU46" s="8">
        <f>BU25</f>
        <v>0</v>
      </c>
      <c r="BV46" s="8"/>
      <c r="BW46" s="8">
        <f>BW25</f>
        <v>0</v>
      </c>
      <c r="BX46" s="8">
        <v>0</v>
      </c>
      <c r="BY46" s="52">
        <f t="shared" si="55"/>
        <v>0</v>
      </c>
      <c r="BZ46" s="8">
        <f>BZ25</f>
        <v>0</v>
      </c>
      <c r="CA46" s="8"/>
      <c r="CB46" s="8">
        <f>CB25</f>
        <v>0</v>
      </c>
      <c r="CC46" s="8">
        <v>0</v>
      </c>
      <c r="CD46" s="52">
        <f t="shared" si="56"/>
        <v>0</v>
      </c>
      <c r="CE46" s="8">
        <f>CE25</f>
        <v>0</v>
      </c>
      <c r="CF46" s="8"/>
      <c r="CG46" s="8">
        <f>CG25</f>
        <v>0</v>
      </c>
      <c r="CH46" s="8">
        <v>0</v>
      </c>
      <c r="CI46" s="52">
        <f t="shared" si="57"/>
        <v>0</v>
      </c>
      <c r="CJ46" s="8">
        <f>CJ25</f>
        <v>0</v>
      </c>
      <c r="CK46" s="8"/>
      <c r="CL46" s="8">
        <f>CL25</f>
        <v>0</v>
      </c>
      <c r="CM46" s="8">
        <v>0</v>
      </c>
      <c r="CN46" s="52">
        <f t="shared" si="58"/>
        <v>0</v>
      </c>
    </row>
    <row r="47" spans="1:92" x14ac:dyDescent="0.35">
      <c r="B47" s="8" t="s">
        <v>433</v>
      </c>
      <c r="C47" s="8"/>
      <c r="D47" s="8"/>
      <c r="E47" s="8">
        <f>E22</f>
        <v>1</v>
      </c>
      <c r="F47" s="52">
        <f t="shared" si="59"/>
        <v>1</v>
      </c>
      <c r="G47" s="8"/>
      <c r="H47" s="8"/>
      <c r="I47" s="8">
        <f t="shared" ref="I47" si="65">I22</f>
        <v>1</v>
      </c>
      <c r="J47" s="52">
        <f t="shared" si="61"/>
        <v>1</v>
      </c>
      <c r="K47" s="8"/>
      <c r="L47" s="8"/>
      <c r="M47" s="8">
        <f t="shared" ref="M47" si="66">M22</f>
        <v>1</v>
      </c>
      <c r="N47" s="52">
        <f t="shared" si="64"/>
        <v>1</v>
      </c>
      <c r="O47" s="8"/>
      <c r="P47" s="8"/>
      <c r="Q47" s="8">
        <f>Q22</f>
        <v>1</v>
      </c>
      <c r="R47" s="52">
        <f t="shared" si="41"/>
        <v>1</v>
      </c>
      <c r="S47" s="8"/>
      <c r="T47" s="8"/>
      <c r="U47" s="8">
        <f>U22</f>
        <v>1</v>
      </c>
      <c r="V47" s="52">
        <f t="shared" si="42"/>
        <v>1</v>
      </c>
      <c r="W47" s="8"/>
      <c r="X47" s="8"/>
      <c r="Y47" s="8">
        <f>Y22</f>
        <v>1</v>
      </c>
      <c r="Z47" s="52">
        <f t="shared" si="43"/>
        <v>1</v>
      </c>
      <c r="AA47" s="8"/>
      <c r="AB47" s="8"/>
      <c r="AC47" s="8">
        <f>AC22</f>
        <v>1</v>
      </c>
      <c r="AD47" s="52">
        <f t="shared" si="44"/>
        <v>1</v>
      </c>
      <c r="AE47" s="8"/>
      <c r="AF47" s="8"/>
      <c r="AG47" s="8">
        <f>AG22</f>
        <v>1</v>
      </c>
      <c r="AH47" s="52">
        <f t="shared" si="45"/>
        <v>1</v>
      </c>
      <c r="AI47" s="8"/>
      <c r="AJ47" s="8"/>
      <c r="AK47" s="8">
        <f>AK22</f>
        <v>1</v>
      </c>
      <c r="AL47" s="52">
        <f t="shared" si="46"/>
        <v>1</v>
      </c>
      <c r="AM47" s="8"/>
      <c r="AN47" s="8"/>
      <c r="AO47" s="8">
        <f>AO22</f>
        <v>1</v>
      </c>
      <c r="AP47" s="52">
        <f t="shared" si="47"/>
        <v>1</v>
      </c>
      <c r="AQ47" s="8"/>
      <c r="AR47" s="8"/>
      <c r="AS47" s="8">
        <f>AS22</f>
        <v>0</v>
      </c>
      <c r="AT47" s="52">
        <f t="shared" si="48"/>
        <v>0</v>
      </c>
      <c r="AU47" s="8"/>
      <c r="AV47" s="8"/>
      <c r="AW47" s="8">
        <f>AW22</f>
        <v>0</v>
      </c>
      <c r="AX47" s="52">
        <f t="shared" si="49"/>
        <v>0</v>
      </c>
      <c r="AY47" s="8"/>
      <c r="AZ47" s="8"/>
      <c r="BA47" s="8">
        <f>BA22</f>
        <v>0</v>
      </c>
      <c r="BB47" s="52">
        <f t="shared" si="50"/>
        <v>0</v>
      </c>
      <c r="BC47" s="8"/>
      <c r="BD47" s="8"/>
      <c r="BE47" s="8">
        <f>BE22</f>
        <v>0</v>
      </c>
      <c r="BF47" s="52">
        <f t="shared" si="51"/>
        <v>0</v>
      </c>
      <c r="BG47" s="8"/>
      <c r="BH47" s="8"/>
      <c r="BI47" s="8">
        <f>BI22</f>
        <v>0</v>
      </c>
      <c r="BJ47" s="52">
        <f t="shared" si="52"/>
        <v>0</v>
      </c>
      <c r="BK47" s="8"/>
      <c r="BL47" s="8"/>
      <c r="BM47" s="8">
        <f>BM22</f>
        <v>0</v>
      </c>
      <c r="BN47" s="8">
        <v>0</v>
      </c>
      <c r="BO47" s="52">
        <f t="shared" si="53"/>
        <v>0</v>
      </c>
      <c r="BP47" s="8"/>
      <c r="BQ47" s="8"/>
      <c r="BR47" s="8">
        <f>BR22</f>
        <v>0</v>
      </c>
      <c r="BS47" s="8">
        <v>0</v>
      </c>
      <c r="BT47" s="52">
        <f t="shared" si="54"/>
        <v>0</v>
      </c>
      <c r="BU47" s="8"/>
      <c r="BV47" s="8"/>
      <c r="BW47" s="8">
        <f>BW22</f>
        <v>0</v>
      </c>
      <c r="BX47" s="8">
        <v>0</v>
      </c>
      <c r="BY47" s="52">
        <f t="shared" si="55"/>
        <v>0</v>
      </c>
      <c r="BZ47" s="8"/>
      <c r="CA47" s="8"/>
      <c r="CB47" s="8">
        <f>CB22</f>
        <v>0</v>
      </c>
      <c r="CC47" s="8">
        <v>0</v>
      </c>
      <c r="CD47" s="52">
        <f t="shared" si="56"/>
        <v>0</v>
      </c>
      <c r="CE47" s="8"/>
      <c r="CF47" s="8"/>
      <c r="CG47" s="8">
        <f>CG22</f>
        <v>0</v>
      </c>
      <c r="CH47" s="8">
        <v>0</v>
      </c>
      <c r="CI47" s="52">
        <f t="shared" si="57"/>
        <v>0</v>
      </c>
      <c r="CJ47" s="8"/>
      <c r="CK47" s="8"/>
      <c r="CL47" s="8">
        <f>CL22</f>
        <v>0</v>
      </c>
      <c r="CM47" s="8">
        <v>0</v>
      </c>
      <c r="CN47" s="52">
        <f t="shared" si="58"/>
        <v>0</v>
      </c>
    </row>
    <row r="48" spans="1:92" x14ac:dyDescent="0.35">
      <c r="B48" s="8" t="s">
        <v>60</v>
      </c>
      <c r="C48" s="8">
        <f>C26</f>
        <v>1</v>
      </c>
      <c r="D48" s="8"/>
      <c r="E48" s="8"/>
      <c r="F48" s="52">
        <f t="shared" si="59"/>
        <v>1</v>
      </c>
      <c r="G48" s="8">
        <f>G26+G7</f>
        <v>2</v>
      </c>
      <c r="H48" s="8"/>
      <c r="I48" s="8"/>
      <c r="J48" s="52">
        <f t="shared" si="61"/>
        <v>2</v>
      </c>
      <c r="K48" s="8">
        <f>K26+K7</f>
        <v>1</v>
      </c>
      <c r="L48" s="8"/>
      <c r="M48" s="8"/>
      <c r="N48" s="52">
        <f t="shared" si="64"/>
        <v>1</v>
      </c>
      <c r="O48" s="8">
        <f>O26+O7</f>
        <v>1</v>
      </c>
      <c r="P48" s="8"/>
      <c r="Q48" s="8">
        <f>Q7</f>
        <v>7</v>
      </c>
      <c r="R48" s="52">
        <f t="shared" si="41"/>
        <v>8</v>
      </c>
      <c r="S48" s="8">
        <f>S26+S7</f>
        <v>1</v>
      </c>
      <c r="T48" s="8"/>
      <c r="U48" s="8">
        <f>U7</f>
        <v>7</v>
      </c>
      <c r="V48" s="52">
        <f t="shared" si="42"/>
        <v>8</v>
      </c>
      <c r="W48" s="8">
        <f>W26+W7</f>
        <v>1</v>
      </c>
      <c r="X48" s="8"/>
      <c r="Y48" s="8">
        <f>Y7</f>
        <v>4</v>
      </c>
      <c r="Z48" s="52">
        <f t="shared" si="43"/>
        <v>5</v>
      </c>
      <c r="AA48" s="8">
        <f>AA26+AA7</f>
        <v>1</v>
      </c>
      <c r="AB48" s="8"/>
      <c r="AC48" s="8"/>
      <c r="AD48" s="52">
        <f t="shared" si="44"/>
        <v>1</v>
      </c>
      <c r="AE48" s="8">
        <f>AE26+AE7</f>
        <v>1</v>
      </c>
      <c r="AF48" s="8"/>
      <c r="AG48" s="8"/>
      <c r="AH48" s="52">
        <f t="shared" si="45"/>
        <v>1</v>
      </c>
      <c r="AI48" s="8">
        <f>AI26+AI7</f>
        <v>1</v>
      </c>
      <c r="AJ48" s="8"/>
      <c r="AK48" s="8">
        <f>AK7</f>
        <v>0</v>
      </c>
      <c r="AL48" s="52">
        <f t="shared" si="46"/>
        <v>1</v>
      </c>
      <c r="AM48" s="8"/>
      <c r="AN48" s="8"/>
      <c r="AO48" s="8">
        <f>AO7+AO26</f>
        <v>0</v>
      </c>
      <c r="AP48" s="52">
        <f t="shared" si="47"/>
        <v>0</v>
      </c>
      <c r="AQ48" s="8"/>
      <c r="AR48" s="8"/>
      <c r="AS48" s="8">
        <f>AS7+AS26</f>
        <v>0</v>
      </c>
      <c r="AT48" s="52">
        <f t="shared" si="48"/>
        <v>0</v>
      </c>
      <c r="AU48" s="8"/>
      <c r="AV48" s="8"/>
      <c r="AW48" s="8">
        <f>AW7+AW26</f>
        <v>0</v>
      </c>
      <c r="AX48" s="52">
        <f t="shared" si="49"/>
        <v>0</v>
      </c>
      <c r="AY48" s="8"/>
      <c r="AZ48" s="8"/>
      <c r="BA48" s="8">
        <f>BA7+BA26</f>
        <v>0</v>
      </c>
      <c r="BB48" s="52">
        <f t="shared" si="50"/>
        <v>0</v>
      </c>
      <c r="BC48" s="8"/>
      <c r="BD48" s="8"/>
      <c r="BE48" s="8">
        <f>BE7+BE26</f>
        <v>0</v>
      </c>
      <c r="BF48" s="52">
        <f t="shared" si="51"/>
        <v>0</v>
      </c>
      <c r="BG48" s="8">
        <f>BG7+BG26+BG9</f>
        <v>4</v>
      </c>
      <c r="BH48" s="8"/>
      <c r="BI48" s="8">
        <f>BI7+BI26</f>
        <v>1</v>
      </c>
      <c r="BJ48" s="52">
        <f t="shared" si="52"/>
        <v>5</v>
      </c>
      <c r="BK48" s="8">
        <f>BK7+BK26+BK9</f>
        <v>4</v>
      </c>
      <c r="BL48" s="8"/>
      <c r="BM48" s="8">
        <f>BM7+BM26</f>
        <v>1</v>
      </c>
      <c r="BN48" s="8">
        <v>0</v>
      </c>
      <c r="BO48" s="52">
        <f t="shared" si="53"/>
        <v>5</v>
      </c>
      <c r="BP48" s="8">
        <f>BP7+BP26+BP9</f>
        <v>0</v>
      </c>
      <c r="BQ48" s="8"/>
      <c r="BR48" s="8">
        <f>BR7+BR26</f>
        <v>0</v>
      </c>
      <c r="BS48" s="8">
        <v>0</v>
      </c>
      <c r="BT48" s="52">
        <f t="shared" si="54"/>
        <v>0</v>
      </c>
      <c r="BU48" s="8">
        <f>BU7+BU26+BU9</f>
        <v>3</v>
      </c>
      <c r="BV48" s="8"/>
      <c r="BW48" s="8">
        <f>BW7+BW26</f>
        <v>0</v>
      </c>
      <c r="BX48" s="8">
        <f>BX7</f>
        <v>3</v>
      </c>
      <c r="BY48" s="52">
        <f t="shared" si="55"/>
        <v>3</v>
      </c>
      <c r="BZ48" s="8">
        <f>BZ7+BZ26+BZ9</f>
        <v>1</v>
      </c>
      <c r="CA48" s="8"/>
      <c r="CB48" s="8">
        <f>CB7+CB26</f>
        <v>0</v>
      </c>
      <c r="CC48" s="8">
        <f>CC7</f>
        <v>2</v>
      </c>
      <c r="CD48" s="52">
        <f t="shared" si="56"/>
        <v>1</v>
      </c>
      <c r="CE48" s="8">
        <f>CE7+CE26+CE9</f>
        <v>1</v>
      </c>
      <c r="CF48" s="8"/>
      <c r="CG48" s="8">
        <f>CG7+CG26</f>
        <v>0</v>
      </c>
      <c r="CH48" s="8">
        <f>CH7</f>
        <v>2</v>
      </c>
      <c r="CI48" s="52">
        <f t="shared" si="57"/>
        <v>1</v>
      </c>
      <c r="CJ48" s="8">
        <f>CJ7+CJ26+CJ9</f>
        <v>0</v>
      </c>
      <c r="CK48" s="8"/>
      <c r="CL48" s="8">
        <f>CL7+CL26</f>
        <v>0</v>
      </c>
      <c r="CM48" s="8">
        <f>CM7</f>
        <v>0</v>
      </c>
      <c r="CN48" s="52">
        <f t="shared" si="58"/>
        <v>0</v>
      </c>
    </row>
    <row r="49" spans="2:92" x14ac:dyDescent="0.35">
      <c r="B49" s="8" t="s">
        <v>415</v>
      </c>
      <c r="C49" s="8">
        <f>C31</f>
        <v>0</v>
      </c>
      <c r="D49" s="8"/>
      <c r="E49" s="8">
        <f>E31</f>
        <v>4</v>
      </c>
      <c r="F49" s="52">
        <f t="shared" si="59"/>
        <v>4</v>
      </c>
      <c r="G49" s="8"/>
      <c r="H49" s="8"/>
      <c r="I49" s="8">
        <f t="shared" ref="I49" si="67">I31</f>
        <v>4</v>
      </c>
      <c r="J49" s="52">
        <f t="shared" si="61"/>
        <v>4</v>
      </c>
      <c r="K49" s="8"/>
      <c r="L49" s="8"/>
      <c r="M49" s="8">
        <f t="shared" ref="M49" si="68">M31</f>
        <v>4</v>
      </c>
      <c r="N49" s="52">
        <f t="shared" si="64"/>
        <v>4</v>
      </c>
      <c r="O49" s="8"/>
      <c r="P49" s="8"/>
      <c r="Q49" s="8">
        <f>Q31</f>
        <v>4</v>
      </c>
      <c r="R49" s="52">
        <f t="shared" si="41"/>
        <v>4</v>
      </c>
      <c r="S49" s="8"/>
      <c r="T49" s="8"/>
      <c r="U49" s="8">
        <f>U31</f>
        <v>4</v>
      </c>
      <c r="V49" s="52">
        <f t="shared" si="42"/>
        <v>4</v>
      </c>
      <c r="W49" s="8"/>
      <c r="X49" s="8"/>
      <c r="Y49" s="8">
        <f>Y31</f>
        <v>4</v>
      </c>
      <c r="Z49" s="52">
        <f t="shared" si="43"/>
        <v>4</v>
      </c>
      <c r="AA49" s="8"/>
      <c r="AB49" s="8"/>
      <c r="AC49" s="8">
        <f>AC31</f>
        <v>4</v>
      </c>
      <c r="AD49" s="52">
        <f t="shared" si="44"/>
        <v>4</v>
      </c>
      <c r="AE49" s="8"/>
      <c r="AF49" s="8"/>
      <c r="AG49" s="8">
        <f>AG31</f>
        <v>4</v>
      </c>
      <c r="AH49" s="52">
        <f t="shared" si="45"/>
        <v>4</v>
      </c>
      <c r="AI49" s="8"/>
      <c r="AJ49" s="8"/>
      <c r="AK49" s="8">
        <f>AK31</f>
        <v>4</v>
      </c>
      <c r="AL49" s="52">
        <f t="shared" si="46"/>
        <v>4</v>
      </c>
      <c r="AM49" s="8"/>
      <c r="AN49" s="8"/>
      <c r="AO49" s="8">
        <f>AO23+AO31</f>
        <v>4</v>
      </c>
      <c r="AP49" s="52">
        <f t="shared" si="47"/>
        <v>4</v>
      </c>
      <c r="AQ49" s="8"/>
      <c r="AR49" s="8"/>
      <c r="AS49" s="8">
        <f>AS23+AS31</f>
        <v>4</v>
      </c>
      <c r="AT49" s="52">
        <f t="shared" si="48"/>
        <v>4</v>
      </c>
      <c r="AU49" s="8"/>
      <c r="AV49" s="8"/>
      <c r="AW49" s="8">
        <f>AW23+AW31</f>
        <v>1</v>
      </c>
      <c r="AX49" s="52">
        <f t="shared" si="49"/>
        <v>1</v>
      </c>
      <c r="AY49" s="8"/>
      <c r="AZ49" s="8"/>
      <c r="BA49" s="8">
        <f>BA23+BA31</f>
        <v>1</v>
      </c>
      <c r="BB49" s="52">
        <f t="shared" si="50"/>
        <v>1</v>
      </c>
      <c r="BC49" s="8"/>
      <c r="BD49" s="8"/>
      <c r="BE49" s="8">
        <f>BE23+BE31</f>
        <v>1</v>
      </c>
      <c r="BF49" s="52">
        <f t="shared" si="51"/>
        <v>1</v>
      </c>
      <c r="BG49" s="8"/>
      <c r="BH49" s="8"/>
      <c r="BI49" s="8">
        <f>BI23+BI31</f>
        <v>0</v>
      </c>
      <c r="BJ49" s="52">
        <f t="shared" si="52"/>
        <v>0</v>
      </c>
      <c r="BK49" s="8"/>
      <c r="BL49" s="8"/>
      <c r="BM49" s="8">
        <f>BM23+BM31</f>
        <v>0</v>
      </c>
      <c r="BN49" s="8">
        <v>0</v>
      </c>
      <c r="BO49" s="52">
        <f t="shared" si="53"/>
        <v>0</v>
      </c>
      <c r="BP49" s="8"/>
      <c r="BQ49" s="8"/>
      <c r="BR49" s="8">
        <f>BR23+BR31</f>
        <v>0</v>
      </c>
      <c r="BS49" s="8">
        <v>0</v>
      </c>
      <c r="BT49" s="52">
        <f t="shared" si="54"/>
        <v>0</v>
      </c>
      <c r="BU49" s="8"/>
      <c r="BV49" s="8"/>
      <c r="BW49" s="8">
        <f>BW23+BW31</f>
        <v>0</v>
      </c>
      <c r="BX49" s="8">
        <v>0</v>
      </c>
      <c r="BY49" s="52">
        <f t="shared" si="55"/>
        <v>0</v>
      </c>
      <c r="BZ49" s="8"/>
      <c r="CA49" s="8"/>
      <c r="CB49" s="8">
        <f>CB23+CB31</f>
        <v>0</v>
      </c>
      <c r="CC49" s="8">
        <v>0</v>
      </c>
      <c r="CD49" s="52">
        <f t="shared" si="56"/>
        <v>0</v>
      </c>
      <c r="CE49" s="8"/>
      <c r="CF49" s="8"/>
      <c r="CG49" s="8">
        <f>CG23+CG31</f>
        <v>0</v>
      </c>
      <c r="CH49" s="8">
        <v>0</v>
      </c>
      <c r="CI49" s="52">
        <f t="shared" si="57"/>
        <v>0</v>
      </c>
      <c r="CJ49" s="8"/>
      <c r="CK49" s="8"/>
      <c r="CL49" s="8">
        <f>CL23+CL31</f>
        <v>0</v>
      </c>
      <c r="CM49" s="8">
        <v>0</v>
      </c>
      <c r="CN49" s="52">
        <f t="shared" si="58"/>
        <v>0</v>
      </c>
    </row>
    <row r="50" spans="2:92" x14ac:dyDescent="0.35">
      <c r="B50" s="38" t="s">
        <v>417</v>
      </c>
      <c r="C50" s="38">
        <f>C17+C27</f>
        <v>2</v>
      </c>
      <c r="D50" s="38"/>
      <c r="E50" s="38">
        <f>E17+E27</f>
        <v>0</v>
      </c>
      <c r="F50" s="54">
        <f t="shared" si="59"/>
        <v>2</v>
      </c>
      <c r="G50" s="38">
        <f>G17+G27</f>
        <v>2</v>
      </c>
      <c r="H50" s="38"/>
      <c r="I50" s="38"/>
      <c r="J50" s="54">
        <f t="shared" si="61"/>
        <v>2</v>
      </c>
      <c r="K50" s="38">
        <f>K17+K27</f>
        <v>2</v>
      </c>
      <c r="L50" s="38"/>
      <c r="M50" s="38"/>
      <c r="N50" s="54">
        <f t="shared" si="64"/>
        <v>2</v>
      </c>
      <c r="O50" s="38">
        <f>O17+O27</f>
        <v>2</v>
      </c>
      <c r="P50" s="38"/>
      <c r="Q50" s="38"/>
      <c r="R50" s="54">
        <f t="shared" si="41"/>
        <v>2</v>
      </c>
      <c r="S50" s="38">
        <f>S17+S27</f>
        <v>2</v>
      </c>
      <c r="T50" s="38"/>
      <c r="U50" s="38"/>
      <c r="V50" s="54">
        <f t="shared" si="42"/>
        <v>2</v>
      </c>
      <c r="W50" s="38">
        <f>W17+W27</f>
        <v>2</v>
      </c>
      <c r="X50" s="38"/>
      <c r="Y50" s="38"/>
      <c r="Z50" s="54">
        <f t="shared" si="43"/>
        <v>2</v>
      </c>
      <c r="AA50" s="38">
        <f>AA17+AA27</f>
        <v>2</v>
      </c>
      <c r="AB50" s="38"/>
      <c r="AC50" s="38"/>
      <c r="AD50" s="54">
        <f t="shared" si="44"/>
        <v>2</v>
      </c>
      <c r="AE50" s="38">
        <f>AE17+AE27</f>
        <v>2</v>
      </c>
      <c r="AF50" s="38"/>
      <c r="AG50" s="38"/>
      <c r="AH50" s="54">
        <f t="shared" si="45"/>
        <v>2</v>
      </c>
      <c r="AI50" s="38">
        <f>AI17+AI27</f>
        <v>2</v>
      </c>
      <c r="AJ50" s="38"/>
      <c r="AK50" s="38"/>
      <c r="AL50" s="54">
        <f t="shared" si="46"/>
        <v>2</v>
      </c>
      <c r="AM50" s="38">
        <f>AM17+AM27</f>
        <v>1</v>
      </c>
      <c r="AN50" s="38"/>
      <c r="AO50" s="38"/>
      <c r="AP50" s="52">
        <f t="shared" si="47"/>
        <v>1</v>
      </c>
      <c r="AQ50" s="38">
        <f>AQ17+AQ27</f>
        <v>1</v>
      </c>
      <c r="AR50" s="38"/>
      <c r="AS50" s="38">
        <f>AS13</f>
        <v>1</v>
      </c>
      <c r="AT50" s="54">
        <f t="shared" si="48"/>
        <v>2</v>
      </c>
      <c r="AU50" s="38">
        <f>AU17+AU27</f>
        <v>1</v>
      </c>
      <c r="AV50" s="38"/>
      <c r="AW50" s="38">
        <f>AW13</f>
        <v>1</v>
      </c>
      <c r="AX50" s="54">
        <f t="shared" si="49"/>
        <v>2</v>
      </c>
      <c r="AY50" s="38">
        <f>AY17+AY27</f>
        <v>1</v>
      </c>
      <c r="AZ50" s="38"/>
      <c r="BA50" s="38">
        <f>BA13</f>
        <v>0</v>
      </c>
      <c r="BB50" s="54">
        <f t="shared" si="50"/>
        <v>1</v>
      </c>
      <c r="BC50" s="38">
        <f>BC17+BC27</f>
        <v>0</v>
      </c>
      <c r="BD50" s="38"/>
      <c r="BE50" s="38">
        <f>BE13</f>
        <v>0</v>
      </c>
      <c r="BF50" s="54">
        <f t="shared" si="51"/>
        <v>0</v>
      </c>
      <c r="BG50" s="38">
        <f>BG17+BG27</f>
        <v>0</v>
      </c>
      <c r="BH50" s="38"/>
      <c r="BI50" s="38">
        <f>BI13</f>
        <v>0</v>
      </c>
      <c r="BJ50" s="54">
        <f t="shared" si="52"/>
        <v>0</v>
      </c>
      <c r="BK50" s="38">
        <f>BK17+BK27</f>
        <v>0</v>
      </c>
      <c r="BL50" s="38"/>
      <c r="BM50" s="38">
        <f>BM13</f>
        <v>0</v>
      </c>
      <c r="BN50" s="38">
        <v>0</v>
      </c>
      <c r="BO50" s="54">
        <f t="shared" si="53"/>
        <v>0</v>
      </c>
      <c r="BP50" s="38">
        <f>BP17+BP27</f>
        <v>0</v>
      </c>
      <c r="BQ50" s="38"/>
      <c r="BR50" s="38">
        <f>BR13</f>
        <v>0</v>
      </c>
      <c r="BS50" s="38">
        <v>0</v>
      </c>
      <c r="BT50" s="54">
        <f t="shared" si="54"/>
        <v>0</v>
      </c>
      <c r="BU50" s="38">
        <f>BU17+BU27</f>
        <v>0</v>
      </c>
      <c r="BV50" s="38"/>
      <c r="BW50" s="38">
        <f>BW13</f>
        <v>0</v>
      </c>
      <c r="BX50" s="38">
        <v>0</v>
      </c>
      <c r="BY50" s="54">
        <f t="shared" si="55"/>
        <v>0</v>
      </c>
      <c r="BZ50" s="38">
        <f>BZ17+BZ27</f>
        <v>0</v>
      </c>
      <c r="CA50" s="38"/>
      <c r="CB50" s="38">
        <f>CB13</f>
        <v>0</v>
      </c>
      <c r="CC50" s="38">
        <v>0</v>
      </c>
      <c r="CD50" s="54">
        <f t="shared" si="56"/>
        <v>0</v>
      </c>
      <c r="CE50" s="38">
        <f>CE17+CE27</f>
        <v>0</v>
      </c>
      <c r="CF50" s="38"/>
      <c r="CG50" s="38">
        <f>CG13</f>
        <v>0</v>
      </c>
      <c r="CH50" s="38">
        <v>0</v>
      </c>
      <c r="CI50" s="54">
        <f t="shared" si="57"/>
        <v>0</v>
      </c>
      <c r="CJ50" s="38">
        <f>CJ17+CJ27</f>
        <v>0</v>
      </c>
      <c r="CK50" s="38"/>
      <c r="CL50" s="38">
        <f>CL13</f>
        <v>0</v>
      </c>
      <c r="CM50" s="38">
        <v>0</v>
      </c>
      <c r="CN50" s="54">
        <f t="shared" si="58"/>
        <v>0</v>
      </c>
    </row>
    <row r="51" spans="2:92" ht="15" thickBot="1" x14ac:dyDescent="0.4">
      <c r="B51" s="38" t="s">
        <v>248</v>
      </c>
      <c r="C51" s="38"/>
      <c r="D51" s="38"/>
      <c r="E51" s="38"/>
      <c r="F51" s="54"/>
      <c r="G51" s="38"/>
      <c r="H51" s="38"/>
      <c r="I51" s="38"/>
      <c r="J51" s="54"/>
      <c r="K51" s="38"/>
      <c r="L51" s="38"/>
      <c r="M51" s="38"/>
      <c r="N51" s="54"/>
      <c r="O51" s="38"/>
      <c r="P51" s="38"/>
      <c r="Q51" s="38"/>
      <c r="R51" s="54"/>
      <c r="S51" s="38"/>
      <c r="T51" s="38"/>
      <c r="U51" s="38"/>
      <c r="V51" s="54"/>
      <c r="W51" s="38"/>
      <c r="X51" s="38"/>
      <c r="Y51" s="38"/>
      <c r="Z51" s="54"/>
      <c r="AA51" s="38"/>
      <c r="AB51" s="38"/>
      <c r="AC51" s="38"/>
      <c r="AD51" s="54"/>
      <c r="AE51" s="38"/>
      <c r="AF51" s="38"/>
      <c r="AG51" s="38"/>
      <c r="AH51" s="54"/>
      <c r="AI51" s="38"/>
      <c r="AJ51" s="38"/>
      <c r="AK51" s="38"/>
      <c r="AL51" s="54"/>
      <c r="AM51" s="38">
        <f>AM12</f>
        <v>1</v>
      </c>
      <c r="AN51" s="38"/>
      <c r="AO51" s="38"/>
      <c r="AP51" s="52">
        <f t="shared" si="47"/>
        <v>1</v>
      </c>
      <c r="AQ51" s="38">
        <f>AQ12</f>
        <v>1</v>
      </c>
      <c r="AR51" s="38"/>
      <c r="AS51" s="38"/>
      <c r="AT51" s="54">
        <f t="shared" si="48"/>
        <v>1</v>
      </c>
      <c r="AU51" s="38">
        <f>AU12</f>
        <v>1</v>
      </c>
      <c r="AV51" s="38"/>
      <c r="AW51" s="38"/>
      <c r="AX51" s="54">
        <f t="shared" si="49"/>
        <v>1</v>
      </c>
      <c r="AY51" s="38">
        <f>AY12</f>
        <v>1</v>
      </c>
      <c r="AZ51" s="38"/>
      <c r="BA51" s="38"/>
      <c r="BB51" s="54">
        <f t="shared" si="50"/>
        <v>1</v>
      </c>
      <c r="BC51" s="38">
        <f>BC12</f>
        <v>1</v>
      </c>
      <c r="BD51" s="38"/>
      <c r="BE51" s="38"/>
      <c r="BF51" s="54">
        <f t="shared" si="51"/>
        <v>1</v>
      </c>
      <c r="BG51" s="38">
        <f>BG12+BG18</f>
        <v>1</v>
      </c>
      <c r="BH51" s="38">
        <f>BH12+BH18</f>
        <v>2</v>
      </c>
      <c r="BI51" s="38"/>
      <c r="BJ51" s="54">
        <f t="shared" si="52"/>
        <v>3</v>
      </c>
      <c r="BK51" s="38">
        <f>BK12+BK18</f>
        <v>2</v>
      </c>
      <c r="BL51" s="38">
        <f>BL12+BL18</f>
        <v>1</v>
      </c>
      <c r="BM51" s="38"/>
      <c r="BN51" s="38">
        <v>0</v>
      </c>
      <c r="BO51" s="54">
        <f t="shared" si="53"/>
        <v>3</v>
      </c>
      <c r="BP51" s="38">
        <f>BP12+BP18</f>
        <v>0</v>
      </c>
      <c r="BQ51" s="38">
        <f>BQ12+BQ18</f>
        <v>0</v>
      </c>
      <c r="BR51" s="38"/>
      <c r="BS51" s="38">
        <v>0</v>
      </c>
      <c r="BT51" s="54">
        <f t="shared" si="54"/>
        <v>0</v>
      </c>
      <c r="BU51" s="38">
        <f>BU12+BU18</f>
        <v>0</v>
      </c>
      <c r="BV51" s="38">
        <f>BV12+BV18</f>
        <v>1</v>
      </c>
      <c r="BW51" s="38">
        <f>BW15</f>
        <v>2</v>
      </c>
      <c r="BX51" s="38">
        <v>0</v>
      </c>
      <c r="BY51" s="54">
        <f t="shared" si="55"/>
        <v>3</v>
      </c>
      <c r="BZ51" s="38">
        <f>BZ12+BZ18</f>
        <v>0</v>
      </c>
      <c r="CA51" s="38">
        <f>CA12+CA18</f>
        <v>1</v>
      </c>
      <c r="CB51" s="38">
        <f>CB15</f>
        <v>2</v>
      </c>
      <c r="CC51" s="38">
        <v>0</v>
      </c>
      <c r="CD51" s="54">
        <f t="shared" si="56"/>
        <v>3</v>
      </c>
      <c r="CE51" s="38">
        <f>CE12+CE18</f>
        <v>0</v>
      </c>
      <c r="CF51" s="38">
        <f>CF12+CF18</f>
        <v>2</v>
      </c>
      <c r="CG51" s="38">
        <v>0</v>
      </c>
      <c r="CH51" s="38">
        <v>0</v>
      </c>
      <c r="CI51" s="54">
        <f t="shared" si="57"/>
        <v>2</v>
      </c>
      <c r="CJ51" s="38">
        <f>CJ12+CJ18</f>
        <v>0</v>
      </c>
      <c r="CK51" s="38">
        <f>CK12+CK18</f>
        <v>0</v>
      </c>
      <c r="CL51" s="38">
        <v>0</v>
      </c>
      <c r="CM51" s="38">
        <v>0</v>
      </c>
      <c r="CN51" s="54">
        <f t="shared" si="58"/>
        <v>0</v>
      </c>
    </row>
    <row r="52" spans="2:92" ht="15" thickBot="1" x14ac:dyDescent="0.4">
      <c r="B52" s="55" t="s">
        <v>603</v>
      </c>
      <c r="C52" s="56">
        <f>SUM(C39:C50)</f>
        <v>51</v>
      </c>
      <c r="D52" s="56"/>
      <c r="E52" s="56">
        <f t="shared" ref="E52:J52" si="69">SUM(E39:E50)</f>
        <v>11</v>
      </c>
      <c r="F52" s="56">
        <f t="shared" si="69"/>
        <v>62</v>
      </c>
      <c r="G52" s="56">
        <f t="shared" si="69"/>
        <v>48</v>
      </c>
      <c r="H52" s="56"/>
      <c r="I52" s="56">
        <f t="shared" si="69"/>
        <v>11</v>
      </c>
      <c r="J52" s="57">
        <f t="shared" si="69"/>
        <v>59</v>
      </c>
      <c r="K52" s="56">
        <f t="shared" ref="K52" si="70">SUM(K39:K50)</f>
        <v>43</v>
      </c>
      <c r="L52" s="56"/>
      <c r="M52" s="56">
        <f t="shared" ref="M52" si="71">SUM(M39:M50)</f>
        <v>10</v>
      </c>
      <c r="N52" s="57">
        <f t="shared" ref="N52" si="72">SUM(N39:N50)</f>
        <v>53</v>
      </c>
      <c r="O52" s="56">
        <f>SUM(O39:O50)</f>
        <v>40</v>
      </c>
      <c r="P52" s="56"/>
      <c r="Q52" s="56">
        <f>SUM(Q39:Q50)</f>
        <v>19</v>
      </c>
      <c r="R52" s="57">
        <f>SUM(R39:R50)</f>
        <v>59</v>
      </c>
      <c r="S52" s="56">
        <f>SUM(S39:S50)</f>
        <v>40</v>
      </c>
      <c r="T52" s="56"/>
      <c r="U52" s="56">
        <f>SUM(U39:U50)</f>
        <v>19</v>
      </c>
      <c r="V52" s="57">
        <f>SUM(V39:V50)</f>
        <v>60</v>
      </c>
      <c r="W52" s="56">
        <f>SUM(W39:W50)</f>
        <v>44</v>
      </c>
      <c r="X52" s="56"/>
      <c r="Y52" s="56">
        <f>SUM(Y39:Y50)</f>
        <v>16</v>
      </c>
      <c r="Z52" s="57">
        <f>SUM(Z39:Z50)</f>
        <v>60</v>
      </c>
      <c r="AA52" s="56">
        <f>SUM(AA39:AA50)</f>
        <v>54</v>
      </c>
      <c r="AB52" s="56"/>
      <c r="AC52" s="56">
        <f>SUM(AC39:AC50)</f>
        <v>12</v>
      </c>
      <c r="AD52" s="57">
        <f>SUM(AD39:AD50)</f>
        <v>66</v>
      </c>
      <c r="AE52" s="56">
        <f>SUM(AE39:AE50)</f>
        <v>53</v>
      </c>
      <c r="AF52" s="56"/>
      <c r="AG52" s="56">
        <f>SUM(AG39:AG50)</f>
        <v>12</v>
      </c>
      <c r="AH52" s="57">
        <f>SUM(AH39:AH50)</f>
        <v>65</v>
      </c>
      <c r="AI52" s="56">
        <f>SUM(AI39:AI50)</f>
        <v>41</v>
      </c>
      <c r="AJ52" s="56"/>
      <c r="AK52" s="56">
        <f>SUM(AK39:AK50)</f>
        <v>11</v>
      </c>
      <c r="AL52" s="57">
        <f>SUM(AL39:AL50)</f>
        <v>52</v>
      </c>
      <c r="AM52" s="56">
        <f>SUM(AM39:AM51)</f>
        <v>41</v>
      </c>
      <c r="AN52" s="56"/>
      <c r="AO52" s="56">
        <f>SUM(AO39:AO50)</f>
        <v>13</v>
      </c>
      <c r="AP52" s="57">
        <f>SUM(AP39:AP51)</f>
        <v>54</v>
      </c>
      <c r="AQ52" s="56">
        <f>SUM(AQ39:AQ51)</f>
        <v>31</v>
      </c>
      <c r="AR52" s="56"/>
      <c r="AS52" s="56">
        <f>SUM(AS39:AS51)</f>
        <v>11</v>
      </c>
      <c r="AT52" s="57">
        <f>SUM(AT39:AT51)</f>
        <v>42</v>
      </c>
      <c r="AU52" s="56">
        <f>SUM(AU39:AU51)</f>
        <v>29</v>
      </c>
      <c r="AV52" s="56"/>
      <c r="AW52" s="56">
        <f t="shared" ref="AW52:BF52" si="73">SUM(AW39:AW51)</f>
        <v>7</v>
      </c>
      <c r="AX52" s="57">
        <f t="shared" si="73"/>
        <v>36</v>
      </c>
      <c r="AY52" s="56">
        <f t="shared" si="73"/>
        <v>29</v>
      </c>
      <c r="AZ52" s="56">
        <f t="shared" si="73"/>
        <v>7</v>
      </c>
      <c r="BA52" s="56">
        <f t="shared" si="73"/>
        <v>5</v>
      </c>
      <c r="BB52" s="57">
        <f t="shared" si="73"/>
        <v>41</v>
      </c>
      <c r="BC52" s="56">
        <f t="shared" si="73"/>
        <v>25</v>
      </c>
      <c r="BD52" s="56">
        <f t="shared" si="73"/>
        <v>6</v>
      </c>
      <c r="BE52" s="56">
        <f t="shared" si="73"/>
        <v>5</v>
      </c>
      <c r="BF52" s="57">
        <f t="shared" si="73"/>
        <v>36</v>
      </c>
      <c r="BG52" s="56">
        <f t="shared" ref="BG52" si="74">SUM(BG39:BG51)</f>
        <v>27</v>
      </c>
      <c r="BH52" s="56">
        <f t="shared" ref="BH52" si="75">SUM(BH39:BH51)</f>
        <v>5</v>
      </c>
      <c r="BI52" s="56">
        <f t="shared" ref="BI52" si="76">SUM(BI39:BI51)</f>
        <v>4</v>
      </c>
      <c r="BJ52" s="57">
        <f t="shared" ref="BJ52" si="77">SUM(BJ39:BJ51)</f>
        <v>36</v>
      </c>
      <c r="BK52" s="56">
        <f t="shared" ref="BK52:BY52" si="78">SUM(BK39:BK51)</f>
        <v>27</v>
      </c>
      <c r="BL52" s="56">
        <f t="shared" si="78"/>
        <v>4</v>
      </c>
      <c r="BM52" s="56">
        <f t="shared" si="78"/>
        <v>4</v>
      </c>
      <c r="BN52" s="56">
        <f t="shared" si="78"/>
        <v>0</v>
      </c>
      <c r="BO52" s="57">
        <f t="shared" si="78"/>
        <v>35</v>
      </c>
      <c r="BP52" s="56">
        <f t="shared" si="78"/>
        <v>0</v>
      </c>
      <c r="BQ52" s="56">
        <f t="shared" si="78"/>
        <v>0</v>
      </c>
      <c r="BR52" s="56">
        <f t="shared" si="78"/>
        <v>0</v>
      </c>
      <c r="BS52" s="56">
        <f t="shared" si="78"/>
        <v>0</v>
      </c>
      <c r="BT52" s="57">
        <f t="shared" si="78"/>
        <v>0</v>
      </c>
      <c r="BU52" s="56">
        <f t="shared" si="78"/>
        <v>17</v>
      </c>
      <c r="BV52" s="56">
        <f t="shared" si="78"/>
        <v>4</v>
      </c>
      <c r="BW52" s="56">
        <f t="shared" si="78"/>
        <v>7</v>
      </c>
      <c r="BX52" s="56">
        <f t="shared" si="78"/>
        <v>3</v>
      </c>
      <c r="BY52" s="57">
        <f t="shared" si="78"/>
        <v>28</v>
      </c>
      <c r="BZ52" s="56">
        <f t="shared" ref="BZ52:CD52" si="79">SUM(BZ39:BZ51)</f>
        <v>16</v>
      </c>
      <c r="CA52" s="56">
        <f t="shared" si="79"/>
        <v>1</v>
      </c>
      <c r="CB52" s="56">
        <f t="shared" si="79"/>
        <v>7</v>
      </c>
      <c r="CC52" s="56">
        <f t="shared" si="79"/>
        <v>2</v>
      </c>
      <c r="CD52" s="57">
        <f t="shared" si="79"/>
        <v>24</v>
      </c>
      <c r="CE52" s="56">
        <f t="shared" ref="CE52:CI52" si="80">SUM(CE39:CE51)</f>
        <v>16</v>
      </c>
      <c r="CF52" s="56">
        <f t="shared" si="80"/>
        <v>3</v>
      </c>
      <c r="CG52" s="56">
        <f t="shared" si="80"/>
        <v>4</v>
      </c>
      <c r="CH52" s="56">
        <f t="shared" si="80"/>
        <v>4</v>
      </c>
      <c r="CI52" s="57">
        <f t="shared" si="80"/>
        <v>23</v>
      </c>
      <c r="CJ52" s="56">
        <f t="shared" ref="CJ52:CN52" si="81">SUM(CJ39:CJ51)</f>
        <v>0</v>
      </c>
      <c r="CK52" s="56">
        <f t="shared" si="81"/>
        <v>0</v>
      </c>
      <c r="CL52" s="56">
        <f t="shared" si="81"/>
        <v>0</v>
      </c>
      <c r="CM52" s="56">
        <f t="shared" si="81"/>
        <v>0</v>
      </c>
      <c r="CN52" s="57">
        <f t="shared" si="81"/>
        <v>0</v>
      </c>
    </row>
    <row r="58" spans="2:92" x14ac:dyDescent="0.35">
      <c r="AM58">
        <v>13</v>
      </c>
    </row>
  </sheetData>
  <mergeCells count="32">
    <mergeCell ref="CJ1:CN1"/>
    <mergeCell ref="CJ37:CN37"/>
    <mergeCell ref="C37:F37"/>
    <mergeCell ref="G37:J37"/>
    <mergeCell ref="W37:Z37"/>
    <mergeCell ref="S37:V37"/>
    <mergeCell ref="O37:R37"/>
    <mergeCell ref="K37:N37"/>
    <mergeCell ref="AA37:AD37"/>
    <mergeCell ref="AE37:AH37"/>
    <mergeCell ref="AI37:AL37"/>
    <mergeCell ref="BC1:BF1"/>
    <mergeCell ref="BC37:BF37"/>
    <mergeCell ref="AQ1:AT1"/>
    <mergeCell ref="AQ37:AT37"/>
    <mergeCell ref="AU1:AX1"/>
    <mergeCell ref="AU37:AX37"/>
    <mergeCell ref="AY1:BB1"/>
    <mergeCell ref="AY37:BB37"/>
    <mergeCell ref="AM37:AP37"/>
    <mergeCell ref="BK1:BO1"/>
    <mergeCell ref="BK37:BO37"/>
    <mergeCell ref="BG1:BJ1"/>
    <mergeCell ref="BG37:BJ37"/>
    <mergeCell ref="BZ1:CD1"/>
    <mergeCell ref="BZ37:CD37"/>
    <mergeCell ref="CE1:CI1"/>
    <mergeCell ref="CE37:CI37"/>
    <mergeCell ref="BP1:BT1"/>
    <mergeCell ref="BP37:BT37"/>
    <mergeCell ref="BU1:BY1"/>
    <mergeCell ref="BU37:BY37"/>
  </mergeCells>
  <phoneticPr fontId="5" type="noConversion"/>
  <pageMargins left="0.7" right="0.7" top="0.75" bottom="0.75" header="0.3" footer="0.3"/>
  <pageSetup paperSize="9" scale="6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B206-6211-4674-BC41-6AE4839DDD0B}">
  <dimension ref="A2:O48"/>
  <sheetViews>
    <sheetView workbookViewId="0">
      <selection activeCell="J55" sqref="J55"/>
    </sheetView>
  </sheetViews>
  <sheetFormatPr defaultRowHeight="14.5" x14ac:dyDescent="0.35"/>
  <cols>
    <col min="1" max="1" width="13" bestFit="1" customWidth="1"/>
    <col min="2" max="2" width="13.7265625" bestFit="1" customWidth="1"/>
    <col min="3" max="3" width="12.26953125" bestFit="1" customWidth="1"/>
    <col min="4" max="4" width="12.54296875" customWidth="1"/>
    <col min="5" max="5" width="10.7265625" bestFit="1" customWidth="1"/>
    <col min="9" max="9" width="21.7265625" customWidth="1"/>
    <col min="10" max="10" width="15.54296875" bestFit="1" customWidth="1"/>
    <col min="11" max="11" width="10.54296875" bestFit="1" customWidth="1"/>
    <col min="13" max="13" width="9.26953125" bestFit="1" customWidth="1"/>
    <col min="14" max="14" width="13.1796875" bestFit="1" customWidth="1"/>
  </cols>
  <sheetData>
    <row r="2" spans="1:7" x14ac:dyDescent="0.35">
      <c r="B2" t="s">
        <v>615</v>
      </c>
      <c r="C2" t="s">
        <v>616</v>
      </c>
      <c r="D2" t="s">
        <v>617</v>
      </c>
    </row>
    <row r="3" spans="1:7" x14ac:dyDescent="0.35">
      <c r="A3" s="59">
        <v>46174</v>
      </c>
      <c r="B3" t="s">
        <v>618</v>
      </c>
      <c r="C3">
        <v>49</v>
      </c>
      <c r="D3">
        <f>3*C3</f>
        <v>147</v>
      </c>
      <c r="E3" t="s">
        <v>619</v>
      </c>
    </row>
    <row r="4" spans="1:7" x14ac:dyDescent="0.35">
      <c r="A4" s="59">
        <v>46204</v>
      </c>
      <c r="B4" t="s">
        <v>620</v>
      </c>
      <c r="C4">
        <v>11</v>
      </c>
      <c r="D4">
        <f>1.5*C4</f>
        <v>16.5</v>
      </c>
      <c r="E4" t="s">
        <v>621</v>
      </c>
    </row>
    <row r="5" spans="1:7" x14ac:dyDescent="0.35">
      <c r="D5">
        <f>SUM(D3:D4)</f>
        <v>163.5</v>
      </c>
    </row>
    <row r="7" spans="1:7" s="60" customFormat="1" ht="29" x14ac:dyDescent="0.35">
      <c r="A7" s="28" t="s">
        <v>245</v>
      </c>
      <c r="B7" s="49" t="s">
        <v>622</v>
      </c>
      <c r="C7" s="28" t="s">
        <v>623</v>
      </c>
      <c r="D7" s="49" t="s">
        <v>246</v>
      </c>
      <c r="E7" s="28" t="s">
        <v>624</v>
      </c>
      <c r="F7" s="28" t="s">
        <v>249</v>
      </c>
      <c r="G7" s="28" t="s">
        <v>401</v>
      </c>
    </row>
    <row r="8" spans="1:7" hidden="1" x14ac:dyDescent="0.35">
      <c r="A8" s="3">
        <v>46195</v>
      </c>
      <c r="B8">
        <v>61</v>
      </c>
      <c r="C8">
        <v>5</v>
      </c>
      <c r="D8">
        <v>5</v>
      </c>
      <c r="E8">
        <f t="shared" ref="E8:F15" si="0">SUM(C8:D8)</f>
        <v>10</v>
      </c>
      <c r="F8">
        <f t="shared" si="0"/>
        <v>15</v>
      </c>
    </row>
    <row r="9" spans="1:7" hidden="1" x14ac:dyDescent="0.35">
      <c r="A9" s="3">
        <v>46196</v>
      </c>
      <c r="B9">
        <f>61-2</f>
        <v>59</v>
      </c>
      <c r="C9">
        <v>2</v>
      </c>
      <c r="D9">
        <v>2</v>
      </c>
      <c r="E9">
        <f t="shared" si="0"/>
        <v>4</v>
      </c>
      <c r="F9">
        <f t="shared" si="0"/>
        <v>6</v>
      </c>
    </row>
    <row r="10" spans="1:7" hidden="1" x14ac:dyDescent="0.35">
      <c r="A10" s="3">
        <v>46197</v>
      </c>
      <c r="B10">
        <v>58</v>
      </c>
      <c r="C10">
        <v>1</v>
      </c>
      <c r="D10">
        <v>1</v>
      </c>
      <c r="E10">
        <f t="shared" si="0"/>
        <v>2</v>
      </c>
      <c r="F10">
        <f t="shared" si="0"/>
        <v>3</v>
      </c>
    </row>
    <row r="11" spans="1:7" hidden="1" x14ac:dyDescent="0.35">
      <c r="A11" s="3">
        <v>46198</v>
      </c>
      <c r="B11">
        <v>58</v>
      </c>
      <c r="C11">
        <v>3</v>
      </c>
      <c r="D11">
        <v>3</v>
      </c>
      <c r="E11">
        <f t="shared" si="0"/>
        <v>6</v>
      </c>
      <c r="F11">
        <f t="shared" si="0"/>
        <v>9</v>
      </c>
    </row>
    <row r="12" spans="1:7" hidden="1" x14ac:dyDescent="0.35">
      <c r="A12" s="3">
        <v>46199</v>
      </c>
      <c r="B12">
        <v>54</v>
      </c>
      <c r="C12">
        <v>6</v>
      </c>
      <c r="D12">
        <v>6</v>
      </c>
      <c r="E12">
        <f t="shared" si="0"/>
        <v>12</v>
      </c>
      <c r="F12">
        <f t="shared" si="0"/>
        <v>18</v>
      </c>
    </row>
    <row r="13" spans="1:7" hidden="1" x14ac:dyDescent="0.35">
      <c r="A13" s="3">
        <v>46201</v>
      </c>
      <c r="B13">
        <v>52</v>
      </c>
      <c r="C13">
        <v>5</v>
      </c>
      <c r="D13">
        <v>5</v>
      </c>
      <c r="E13">
        <f t="shared" si="0"/>
        <v>10</v>
      </c>
      <c r="F13">
        <f t="shared" si="0"/>
        <v>15</v>
      </c>
    </row>
    <row r="14" spans="1:7" hidden="1" x14ac:dyDescent="0.35">
      <c r="A14" s="3">
        <v>46202</v>
      </c>
      <c r="B14">
        <v>50</v>
      </c>
      <c r="C14">
        <v>6</v>
      </c>
      <c r="D14">
        <v>6</v>
      </c>
      <c r="E14">
        <f t="shared" si="0"/>
        <v>12</v>
      </c>
      <c r="F14">
        <f t="shared" si="0"/>
        <v>18</v>
      </c>
    </row>
    <row r="15" spans="1:7" hidden="1" x14ac:dyDescent="0.35">
      <c r="A15" s="3">
        <v>46203</v>
      </c>
      <c r="B15">
        <v>49</v>
      </c>
      <c r="C15">
        <v>2</v>
      </c>
      <c r="D15">
        <v>2</v>
      </c>
      <c r="E15">
        <f t="shared" si="0"/>
        <v>4</v>
      </c>
      <c r="F15">
        <f t="shared" si="0"/>
        <v>6</v>
      </c>
    </row>
    <row r="16" spans="1:7" x14ac:dyDescent="0.35">
      <c r="A16" s="3">
        <v>46204</v>
      </c>
      <c r="B16">
        <f t="shared" ref="B16:B26" si="1">37+12</f>
        <v>49</v>
      </c>
      <c r="C16">
        <v>50</v>
      </c>
      <c r="D16">
        <v>8</v>
      </c>
      <c r="E16">
        <v>11</v>
      </c>
      <c r="F16">
        <f>SUM(B16:D16)-E16</f>
        <v>96</v>
      </c>
    </row>
    <row r="17" spans="1:8" x14ac:dyDescent="0.35">
      <c r="A17" s="3">
        <v>46205</v>
      </c>
      <c r="B17">
        <f t="shared" si="1"/>
        <v>49</v>
      </c>
      <c r="C17">
        <v>49</v>
      </c>
      <c r="D17">
        <v>4</v>
      </c>
      <c r="E17">
        <v>5</v>
      </c>
      <c r="F17">
        <f t="shared" ref="F17:F48" si="2">SUM(B17:D17)-E17</f>
        <v>97</v>
      </c>
    </row>
    <row r="18" spans="1:8" x14ac:dyDescent="0.35">
      <c r="A18" s="3">
        <v>46206</v>
      </c>
      <c r="B18">
        <f t="shared" si="1"/>
        <v>49</v>
      </c>
      <c r="C18">
        <v>48</v>
      </c>
      <c r="D18">
        <v>18</v>
      </c>
      <c r="E18">
        <v>3</v>
      </c>
      <c r="F18">
        <f t="shared" si="2"/>
        <v>112</v>
      </c>
    </row>
    <row r="19" spans="1:8" x14ac:dyDescent="0.35">
      <c r="A19" s="3">
        <v>46207</v>
      </c>
      <c r="B19">
        <f t="shared" si="1"/>
        <v>49</v>
      </c>
      <c r="C19">
        <v>50</v>
      </c>
      <c r="D19">
        <v>2</v>
      </c>
      <c r="E19">
        <v>4</v>
      </c>
      <c r="F19">
        <f t="shared" si="2"/>
        <v>97</v>
      </c>
    </row>
    <row r="20" spans="1:8" x14ac:dyDescent="0.35">
      <c r="A20" s="3">
        <v>46209</v>
      </c>
      <c r="B20">
        <f t="shared" si="1"/>
        <v>49</v>
      </c>
      <c r="C20">
        <v>50</v>
      </c>
      <c r="D20">
        <v>9</v>
      </c>
      <c r="E20">
        <v>7</v>
      </c>
      <c r="F20">
        <f t="shared" si="2"/>
        <v>101</v>
      </c>
    </row>
    <row r="21" spans="1:8" x14ac:dyDescent="0.35">
      <c r="A21" s="3">
        <v>46210</v>
      </c>
      <c r="B21">
        <f t="shared" si="1"/>
        <v>49</v>
      </c>
      <c r="C21">
        <v>47</v>
      </c>
      <c r="D21">
        <v>3</v>
      </c>
      <c r="E21">
        <v>7</v>
      </c>
      <c r="F21">
        <f t="shared" si="2"/>
        <v>92</v>
      </c>
    </row>
    <row r="22" spans="1:8" x14ac:dyDescent="0.35">
      <c r="A22" s="3">
        <v>46211</v>
      </c>
      <c r="B22">
        <f t="shared" si="1"/>
        <v>49</v>
      </c>
      <c r="C22">
        <v>50</v>
      </c>
      <c r="D22">
        <v>2</v>
      </c>
      <c r="E22">
        <v>9</v>
      </c>
      <c r="F22">
        <f t="shared" si="2"/>
        <v>92</v>
      </c>
    </row>
    <row r="23" spans="1:8" x14ac:dyDescent="0.35">
      <c r="A23" s="3">
        <v>46212</v>
      </c>
      <c r="B23">
        <f t="shared" si="1"/>
        <v>49</v>
      </c>
      <c r="C23">
        <v>50</v>
      </c>
      <c r="D23">
        <v>13</v>
      </c>
      <c r="E23">
        <v>2</v>
      </c>
      <c r="F23">
        <f t="shared" si="2"/>
        <v>110</v>
      </c>
    </row>
    <row r="24" spans="1:8" x14ac:dyDescent="0.35">
      <c r="A24" s="3">
        <v>46213</v>
      </c>
      <c r="B24">
        <f t="shared" si="1"/>
        <v>49</v>
      </c>
      <c r="C24">
        <v>46</v>
      </c>
      <c r="D24">
        <v>4</v>
      </c>
      <c r="E24">
        <v>4</v>
      </c>
      <c r="F24">
        <f t="shared" si="2"/>
        <v>95</v>
      </c>
    </row>
    <row r="25" spans="1:8" x14ac:dyDescent="0.35">
      <c r="A25" s="3">
        <v>46214</v>
      </c>
      <c r="B25">
        <f t="shared" si="1"/>
        <v>49</v>
      </c>
      <c r="C25">
        <v>50</v>
      </c>
      <c r="D25">
        <v>8</v>
      </c>
      <c r="E25">
        <v>5</v>
      </c>
      <c r="F25">
        <f t="shared" si="2"/>
        <v>102</v>
      </c>
    </row>
    <row r="26" spans="1:8" x14ac:dyDescent="0.35">
      <c r="A26" s="3">
        <v>46216</v>
      </c>
      <c r="B26">
        <f t="shared" si="1"/>
        <v>49</v>
      </c>
      <c r="C26">
        <v>49</v>
      </c>
      <c r="D26">
        <v>11</v>
      </c>
      <c r="E26">
        <v>2</v>
      </c>
      <c r="F26">
        <f t="shared" si="2"/>
        <v>107</v>
      </c>
    </row>
    <row r="27" spans="1:8" x14ac:dyDescent="0.35">
      <c r="A27" s="3">
        <v>46217</v>
      </c>
      <c r="B27">
        <v>48</v>
      </c>
      <c r="C27">
        <v>49</v>
      </c>
      <c r="D27">
        <v>4</v>
      </c>
      <c r="E27">
        <v>2</v>
      </c>
      <c r="F27">
        <f t="shared" si="2"/>
        <v>99</v>
      </c>
    </row>
    <row r="28" spans="1:8" x14ac:dyDescent="0.35">
      <c r="A28" s="3">
        <v>46218</v>
      </c>
      <c r="B28">
        <v>47</v>
      </c>
      <c r="C28">
        <v>48</v>
      </c>
      <c r="D28">
        <v>12</v>
      </c>
      <c r="E28">
        <v>1</v>
      </c>
      <c r="F28">
        <f t="shared" si="2"/>
        <v>106</v>
      </c>
    </row>
    <row r="29" spans="1:8" x14ac:dyDescent="0.35">
      <c r="A29" s="3">
        <v>46219</v>
      </c>
      <c r="B29">
        <f>B28-1</f>
        <v>46</v>
      </c>
      <c r="C29">
        <v>47</v>
      </c>
      <c r="D29">
        <v>4</v>
      </c>
      <c r="E29">
        <v>2</v>
      </c>
      <c r="F29">
        <f t="shared" si="2"/>
        <v>95</v>
      </c>
    </row>
    <row r="30" spans="1:8" x14ac:dyDescent="0.35">
      <c r="A30" s="3">
        <v>46220</v>
      </c>
      <c r="B30">
        <v>45</v>
      </c>
      <c r="C30">
        <v>47</v>
      </c>
      <c r="D30">
        <v>1</v>
      </c>
      <c r="E30">
        <v>3</v>
      </c>
      <c r="F30">
        <f t="shared" si="2"/>
        <v>90</v>
      </c>
      <c r="H30">
        <f>45-27</f>
        <v>18</v>
      </c>
    </row>
    <row r="31" spans="1:8" x14ac:dyDescent="0.35">
      <c r="A31" s="3">
        <v>46221</v>
      </c>
      <c r="B31">
        <f>B30-2</f>
        <v>43</v>
      </c>
      <c r="C31">
        <v>46</v>
      </c>
      <c r="D31">
        <v>8</v>
      </c>
      <c r="E31">
        <v>4</v>
      </c>
      <c r="F31">
        <f t="shared" si="2"/>
        <v>93</v>
      </c>
      <c r="H31">
        <f>47-43</f>
        <v>4</v>
      </c>
    </row>
    <row r="32" spans="1:8" x14ac:dyDescent="0.35">
      <c r="A32" s="3">
        <v>46223</v>
      </c>
      <c r="B32">
        <f>B31-2</f>
        <v>41</v>
      </c>
      <c r="C32">
        <v>45</v>
      </c>
      <c r="D32">
        <v>5</v>
      </c>
      <c r="E32">
        <v>5</v>
      </c>
      <c r="F32">
        <f t="shared" si="2"/>
        <v>86</v>
      </c>
    </row>
    <row r="33" spans="1:15" x14ac:dyDescent="0.35">
      <c r="A33" s="3">
        <v>46224</v>
      </c>
      <c r="B33">
        <f>B32-2</f>
        <v>39</v>
      </c>
      <c r="C33">
        <v>45</v>
      </c>
      <c r="D33">
        <v>9</v>
      </c>
      <c r="E33">
        <v>7</v>
      </c>
      <c r="F33">
        <f t="shared" si="2"/>
        <v>86</v>
      </c>
      <c r="H33">
        <f>20</f>
        <v>20</v>
      </c>
    </row>
    <row r="34" spans="1:15" x14ac:dyDescent="0.35">
      <c r="A34" s="3">
        <v>46225</v>
      </c>
      <c r="B34">
        <f>B33-4</f>
        <v>35</v>
      </c>
      <c r="C34">
        <v>45</v>
      </c>
      <c r="D34">
        <v>3</v>
      </c>
      <c r="E34">
        <v>3</v>
      </c>
      <c r="F34">
        <f t="shared" si="2"/>
        <v>80</v>
      </c>
    </row>
    <row r="35" spans="1:15" x14ac:dyDescent="0.35">
      <c r="A35" s="3">
        <v>46226</v>
      </c>
      <c r="B35">
        <v>27</v>
      </c>
      <c r="C35">
        <v>45</v>
      </c>
      <c r="D35">
        <v>2</v>
      </c>
      <c r="E35">
        <v>2</v>
      </c>
      <c r="F35">
        <f>SUM(B35:D35)-E35</f>
        <v>72</v>
      </c>
    </row>
    <row r="36" spans="1:15" ht="13.15" customHeight="1" x14ac:dyDescent="0.35">
      <c r="A36" s="3">
        <v>46227</v>
      </c>
      <c r="B36">
        <v>27</v>
      </c>
      <c r="C36">
        <v>45</v>
      </c>
      <c r="D36">
        <v>3</v>
      </c>
      <c r="E36">
        <v>2</v>
      </c>
      <c r="F36">
        <f t="shared" si="2"/>
        <v>73</v>
      </c>
      <c r="I36" s="61" t="s">
        <v>625</v>
      </c>
      <c r="J36" s="61" t="s">
        <v>255</v>
      </c>
      <c r="K36" s="62">
        <f>45-6</f>
        <v>39</v>
      </c>
      <c r="L36" s="62"/>
      <c r="M36" s="62"/>
      <c r="N36" s="62" t="s">
        <v>626</v>
      </c>
      <c r="O36" s="62" t="s">
        <v>253</v>
      </c>
    </row>
    <row r="37" spans="1:15" x14ac:dyDescent="0.35">
      <c r="A37" s="3">
        <v>46228</v>
      </c>
      <c r="B37">
        <v>27</v>
      </c>
      <c r="C37">
        <v>45</v>
      </c>
      <c r="D37">
        <v>3</v>
      </c>
      <c r="E37">
        <v>2</v>
      </c>
      <c r="F37">
        <f t="shared" si="2"/>
        <v>73</v>
      </c>
      <c r="I37">
        <v>22</v>
      </c>
      <c r="J37">
        <v>39</v>
      </c>
      <c r="M37" s="63">
        <f>SUM(N37:O37)</f>
        <v>61</v>
      </c>
      <c r="N37">
        <v>22</v>
      </c>
      <c r="O37">
        <v>39</v>
      </c>
    </row>
    <row r="38" spans="1:15" x14ac:dyDescent="0.35">
      <c r="A38" s="3">
        <v>46230</v>
      </c>
      <c r="B38">
        <v>22</v>
      </c>
      <c r="C38">
        <v>45</v>
      </c>
      <c r="D38">
        <v>1</v>
      </c>
      <c r="E38">
        <v>3</v>
      </c>
      <c r="F38">
        <f t="shared" si="2"/>
        <v>65</v>
      </c>
    </row>
    <row r="39" spans="1:15" x14ac:dyDescent="0.35">
      <c r="A39" s="3">
        <v>46231</v>
      </c>
      <c r="B39">
        <v>22</v>
      </c>
      <c r="C39">
        <f>45-6</f>
        <v>39</v>
      </c>
      <c r="D39">
        <v>0</v>
      </c>
      <c r="E39">
        <v>7</v>
      </c>
      <c r="F39">
        <f>SUM(B39:D39)-E39</f>
        <v>54</v>
      </c>
      <c r="G39">
        <v>12</v>
      </c>
      <c r="H39">
        <f>SUM(F39:G39)</f>
        <v>66</v>
      </c>
    </row>
    <row r="40" spans="1:15" x14ac:dyDescent="0.35">
      <c r="A40" s="3">
        <v>46232</v>
      </c>
      <c r="B40">
        <v>22</v>
      </c>
      <c r="C40">
        <f>45-6</f>
        <v>39</v>
      </c>
      <c r="D40">
        <v>0</v>
      </c>
      <c r="E40">
        <v>3</v>
      </c>
      <c r="F40">
        <f t="shared" si="2"/>
        <v>58</v>
      </c>
      <c r="G40">
        <v>12</v>
      </c>
      <c r="H40">
        <f>SUM(F40:G40)</f>
        <v>70</v>
      </c>
    </row>
    <row r="41" spans="1:15" x14ac:dyDescent="0.35">
      <c r="A41" s="3">
        <v>46233</v>
      </c>
      <c r="B41">
        <v>22</v>
      </c>
      <c r="C41">
        <f t="shared" ref="C41:C43" si="3">45-6</f>
        <v>39</v>
      </c>
      <c r="D41">
        <v>0</v>
      </c>
      <c r="E41">
        <v>3</v>
      </c>
      <c r="F41">
        <f t="shared" si="2"/>
        <v>58</v>
      </c>
      <c r="M41">
        <f>75-48</f>
        <v>27</v>
      </c>
    </row>
    <row r="42" spans="1:15" x14ac:dyDescent="0.35">
      <c r="A42" s="3">
        <v>46234</v>
      </c>
      <c r="B42">
        <v>22</v>
      </c>
      <c r="C42">
        <f t="shared" si="3"/>
        <v>39</v>
      </c>
      <c r="D42">
        <v>0</v>
      </c>
      <c r="E42">
        <v>3</v>
      </c>
      <c r="F42">
        <f t="shared" si="2"/>
        <v>58</v>
      </c>
    </row>
    <row r="43" spans="1:15" x14ac:dyDescent="0.35">
      <c r="A43" s="3">
        <v>46235</v>
      </c>
      <c r="B43">
        <v>22</v>
      </c>
      <c r="C43">
        <f t="shared" si="3"/>
        <v>39</v>
      </c>
      <c r="D43">
        <v>0</v>
      </c>
      <c r="E43">
        <v>3</v>
      </c>
      <c r="F43">
        <f t="shared" si="2"/>
        <v>58</v>
      </c>
    </row>
    <row r="44" spans="1:15" x14ac:dyDescent="0.35">
      <c r="A44" s="3">
        <v>46236</v>
      </c>
      <c r="B44">
        <v>22</v>
      </c>
      <c r="C44">
        <f>45-6</f>
        <v>39</v>
      </c>
      <c r="D44">
        <v>0</v>
      </c>
      <c r="E44">
        <v>3</v>
      </c>
      <c r="F44">
        <f t="shared" si="2"/>
        <v>58</v>
      </c>
      <c r="G44">
        <v>12</v>
      </c>
    </row>
    <row r="45" spans="1:15" x14ac:dyDescent="0.35">
      <c r="A45" s="3">
        <v>46237</v>
      </c>
      <c r="B45">
        <v>22</v>
      </c>
      <c r="C45">
        <f>45-6</f>
        <v>39</v>
      </c>
      <c r="D45">
        <v>0</v>
      </c>
      <c r="E45">
        <v>3</v>
      </c>
      <c r="F45">
        <f t="shared" si="2"/>
        <v>58</v>
      </c>
      <c r="G45">
        <v>15</v>
      </c>
      <c r="H45">
        <v>3</v>
      </c>
    </row>
    <row r="46" spans="1:15" x14ac:dyDescent="0.35">
      <c r="A46" s="64">
        <v>46238</v>
      </c>
      <c r="B46" s="65">
        <f t="shared" ref="B46:B48" si="4">B45-2</f>
        <v>20</v>
      </c>
      <c r="C46" s="65">
        <v>43</v>
      </c>
      <c r="D46" s="65">
        <v>3</v>
      </c>
      <c r="E46" s="65">
        <v>5</v>
      </c>
      <c r="F46">
        <f t="shared" si="2"/>
        <v>61</v>
      </c>
    </row>
    <row r="47" spans="1:15" x14ac:dyDescent="0.35">
      <c r="A47" s="64">
        <v>46239</v>
      </c>
      <c r="B47" s="65">
        <f t="shared" si="4"/>
        <v>18</v>
      </c>
      <c r="C47" s="65">
        <v>43</v>
      </c>
      <c r="D47" s="65">
        <v>3</v>
      </c>
      <c r="E47" s="65">
        <v>5</v>
      </c>
      <c r="F47">
        <f t="shared" si="2"/>
        <v>59</v>
      </c>
    </row>
    <row r="48" spans="1:15" x14ac:dyDescent="0.35">
      <c r="A48" s="64">
        <v>46240</v>
      </c>
      <c r="B48" s="65">
        <f t="shared" si="4"/>
        <v>16</v>
      </c>
      <c r="C48" s="65">
        <v>43</v>
      </c>
      <c r="D48" s="65">
        <v>3</v>
      </c>
      <c r="E48" s="65">
        <v>5</v>
      </c>
      <c r="F48">
        <f t="shared" si="2"/>
        <v>57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06BEDFCB0B1469DC9E6387014D14B" ma:contentTypeVersion="16" ma:contentTypeDescription="Create a new document." ma:contentTypeScope="" ma:versionID="c2670577409a394e919339b1e552316e">
  <xsd:schema xmlns:xsd="http://www.w3.org/2001/XMLSchema" xmlns:xs="http://www.w3.org/2001/XMLSchema" xmlns:p="http://schemas.microsoft.com/office/2006/metadata/properties" xmlns:ns2="a17c3cf8-379a-4096-91ee-deda5059bacf" xmlns:ns3="458ee931-7c54-40be-9f26-9e3769313750" xmlns:ns4="ede2196a-f95a-4ce9-a5d1-0ad1e2957685" targetNamespace="http://schemas.microsoft.com/office/2006/metadata/properties" ma:root="true" ma:fieldsID="05bbbe3d173afd9a478e09b402be9263" ns2:_="" ns3:_="" ns4:_="">
    <xsd:import namespace="a17c3cf8-379a-4096-91ee-deda5059bacf"/>
    <xsd:import namespace="458ee931-7c54-40be-9f26-9e3769313750"/>
    <xsd:import namespace="ede2196a-f95a-4ce9-a5d1-0ad1e2957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3cf8-379a-4096-91ee-deda5059b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ee931-7c54-40be-9f26-9e37693137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2196a-f95a-4ce9-a5d1-0ad1e295768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dbfb983-a92e-47f8-a749-cebd0d12fdc4}" ma:internalName="TaxCatchAll" ma:showField="CatchAllData" ma:web="458ee931-7c54-40be-9f26-9e37693137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7c3cf8-379a-4096-91ee-deda5059bacf">
      <Terms xmlns="http://schemas.microsoft.com/office/infopath/2007/PartnerControls"/>
    </lcf76f155ced4ddcb4097134ff3c332f>
    <TaxCatchAll xmlns="ede2196a-f95a-4ce9-a5d1-0ad1e2957685" xsi:nil="true"/>
  </documentManagement>
</p:properties>
</file>

<file path=customXml/itemProps1.xml><?xml version="1.0" encoding="utf-8"?>
<ds:datastoreItem xmlns:ds="http://schemas.openxmlformats.org/officeDocument/2006/customXml" ds:itemID="{9F1D4562-CA06-4DA4-80B5-8B453FDD4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7c3cf8-379a-4096-91ee-deda5059bacf"/>
    <ds:schemaRef ds:uri="458ee931-7c54-40be-9f26-9e3769313750"/>
    <ds:schemaRef ds:uri="ede2196a-f95a-4ce9-a5d1-0ad1e2957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76046C-B362-4364-A925-5ABA798828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DE234-6814-4F47-95E4-BAC94EC3078B}">
  <ds:schemaRefs>
    <ds:schemaRef ds:uri="ede2196a-f95a-4ce9-a5d1-0ad1e2957685"/>
    <ds:schemaRef ds:uri="http://purl.org/dc/terms/"/>
    <ds:schemaRef ds:uri="a17c3cf8-379a-4096-91ee-deda5059bacf"/>
    <ds:schemaRef ds:uri="http://schemas.microsoft.com/office/2006/documentManagement/types"/>
    <ds:schemaRef ds:uri="458ee931-7c54-40be-9f26-9e3769313750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Inventory</vt:lpstr>
      <vt:lpstr>New Creation</vt:lpstr>
      <vt:lpstr>Summary SM Plan</vt:lpstr>
      <vt:lpstr>Summary SM Actual</vt:lpstr>
      <vt:lpstr>Cleaner Scrap</vt:lpstr>
      <vt:lpstr>Sheet2</vt:lpstr>
      <vt:lpstr>Sheet1</vt:lpstr>
      <vt:lpstr>NEW</vt:lpstr>
      <vt:lpstr>Pivot New Local</vt:lpstr>
      <vt:lpstr>Summary SM Actual (2)</vt:lpstr>
      <vt:lpstr>Pivot File Mixing</vt:lpstr>
      <vt:lpstr>Flow Diagram SM</vt:lpstr>
      <vt:lpstr>Sheet5</vt:lpstr>
      <vt:lpstr>Disposisi</vt:lpstr>
      <vt:lpstr>Data PC Slow Moving</vt:lpstr>
      <vt:lpstr>Newcreation</vt:lpstr>
      <vt:lpstr>Pivot New-creation</vt:lpstr>
      <vt:lpstr>Dispo tracking</vt:lpstr>
      <vt:lpstr>Pareto</vt:lpstr>
      <vt:lpstr>Disposisi!Print_Area</vt:lpstr>
      <vt:lpstr>Inventory!Print_Area</vt:lpstr>
      <vt:lpstr>NEW!Print_Area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Jajat Sudrajat</dc:creator>
  <cp:keywords/>
  <dc:description/>
  <cp:lastModifiedBy>Christopher Roberto</cp:lastModifiedBy>
  <cp:revision/>
  <dcterms:created xsi:type="dcterms:W3CDTF">2026-06-24T13:04:58Z</dcterms:created>
  <dcterms:modified xsi:type="dcterms:W3CDTF">2026-09-06T23:10:22Z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0x010100D9406BEDFCB0B1469DC9E6387014D14B</vt:lpwstr>
  </property>
</Properties>
</file>